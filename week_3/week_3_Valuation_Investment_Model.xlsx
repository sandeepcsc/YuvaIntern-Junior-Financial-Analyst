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DD2DA3A1-09CD-4FEE-B167-9F850FCD4829}" xr6:coauthVersionLast="47" xr6:coauthVersionMax="47" xr10:uidLastSave="{00000000-0000-0000-0000-000000000000}"/>
  <bookViews>
    <workbookView xWindow="-108" yWindow="-108" windowWidth="23256" windowHeight="13896" xr2:uid="{00000000-000D-0000-FFFF-FFFF00000000}"/>
  </bookViews>
  <sheets>
    <sheet name="Cover" sheetId="1" r:id="rId1"/>
    <sheet name="Assumptions" sheetId="2" r:id="rId2"/>
    <sheet name="Historical Financials" sheetId="3" r:id="rId3"/>
    <sheet name="DCF" sheetId="4" r:id="rId4"/>
    <sheet name="Trading Comps" sheetId="5" r:id="rId5"/>
    <sheet name="Precedent Transactions" sheetId="6" r:id="rId6"/>
    <sheet name="Investment Simulation" sheetId="7" r:id="rId7"/>
    <sheet name="Valuation Dashboard" sheetId="8" r:id="rId8"/>
    <sheet name="Sources" sheetId="9" r:id="rId9"/>
    <sheet name="Model Check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0" l="1"/>
  <c r="D8" i="10" s="1"/>
  <c r="B4" i="10"/>
  <c r="D4" i="10" s="1"/>
  <c r="B21" i="8"/>
  <c r="B20" i="8"/>
  <c r="B19" i="8"/>
  <c r="B18" i="8"/>
  <c r="C10" i="8"/>
  <c r="B10" i="8"/>
  <c r="J7" i="8" s="1"/>
  <c r="G7" i="8"/>
  <c r="C7" i="8"/>
  <c r="B7" i="8"/>
  <c r="B15" i="7"/>
  <c r="B14" i="7"/>
  <c r="D8" i="7"/>
  <c r="B8" i="7"/>
  <c r="B7" i="7"/>
  <c r="B6" i="7"/>
  <c r="B5" i="7"/>
  <c r="B13" i="6"/>
  <c r="B11" i="6"/>
  <c r="B14" i="6" s="1"/>
  <c r="F4" i="6"/>
  <c r="D22" i="5"/>
  <c r="B7" i="10" s="1"/>
  <c r="D7" i="10" s="1"/>
  <c r="D13" i="5"/>
  <c r="D12" i="5"/>
  <c r="E12" i="5" s="1"/>
  <c r="F12" i="5" s="1"/>
  <c r="D11" i="5"/>
  <c r="E11" i="5" s="1"/>
  <c r="F11" i="5" s="1"/>
  <c r="I6" i="5"/>
  <c r="H6" i="5"/>
  <c r="I5" i="5"/>
  <c r="H5" i="5"/>
  <c r="I4" i="5"/>
  <c r="H4" i="5"/>
  <c r="B33" i="4"/>
  <c r="B28" i="4"/>
  <c r="B24" i="4"/>
  <c r="G16" i="4"/>
  <c r="F16" i="4"/>
  <c r="E16" i="4"/>
  <c r="D16" i="4"/>
  <c r="C16" i="4"/>
  <c r="B16" i="4"/>
  <c r="B14" i="4"/>
  <c r="B8" i="4"/>
  <c r="B7" i="4"/>
  <c r="B6" i="4"/>
  <c r="B9" i="4" s="1"/>
  <c r="B5" i="4"/>
  <c r="B4" i="4"/>
  <c r="C4" i="4" s="1"/>
  <c r="B20" i="2"/>
  <c r="B13" i="4" s="1"/>
  <c r="B19" i="2"/>
  <c r="B12" i="4" s="1"/>
  <c r="B18" i="2"/>
  <c r="B17" i="2"/>
  <c r="B16" i="2"/>
  <c r="D7" i="4" s="1"/>
  <c r="B15" i="2"/>
  <c r="G5" i="4" s="1"/>
  <c r="G11" i="2"/>
  <c r="F14" i="5" l="1"/>
  <c r="B20" i="5"/>
  <c r="B21" i="5"/>
  <c r="C21" i="5" s="1"/>
  <c r="E21" i="5" s="1"/>
  <c r="F15" i="5"/>
  <c r="C6" i="4"/>
  <c r="C13" i="4"/>
  <c r="C14" i="4" s="1"/>
  <c r="D4" i="4"/>
  <c r="C8" i="4"/>
  <c r="C12" i="4"/>
  <c r="B10" i="4"/>
  <c r="B11" i="4" s="1"/>
  <c r="B15" i="4" s="1"/>
  <c r="E7" i="4"/>
  <c r="F7" i="4"/>
  <c r="G7" i="4"/>
  <c r="C7" i="4"/>
  <c r="E5" i="4"/>
  <c r="C5" i="4"/>
  <c r="D5" i="4"/>
  <c r="F5" i="4"/>
  <c r="B47" i="4" l="1"/>
  <c r="B17" i="4"/>
  <c r="D6" i="4"/>
  <c r="E4" i="4"/>
  <c r="D13" i="4"/>
  <c r="D14" i="4" s="1"/>
  <c r="D8" i="4"/>
  <c r="D12" i="4"/>
  <c r="B22" i="5"/>
  <c r="C9" i="8" s="1"/>
  <c r="C20" i="5"/>
  <c r="E20" i="5" s="1"/>
  <c r="C22" i="5" s="1"/>
  <c r="C9" i="4"/>
  <c r="C6" i="7" l="1"/>
  <c r="D6" i="7" s="1"/>
  <c r="B16" i="7" s="1"/>
  <c r="B17" i="7" s="1"/>
  <c r="B18" i="7" s="1"/>
  <c r="B19" i="7" s="1"/>
  <c r="B17" i="8" s="1"/>
  <c r="C5" i="7"/>
  <c r="D5" i="7" s="1"/>
  <c r="B9" i="8"/>
  <c r="I7" i="8" s="1"/>
  <c r="C8" i="7"/>
  <c r="C7" i="7"/>
  <c r="D7" i="7" s="1"/>
  <c r="C11" i="4"/>
  <c r="C15" i="4" s="1"/>
  <c r="C10" i="4"/>
  <c r="E6" i="4"/>
  <c r="E9" i="4" s="1"/>
  <c r="F4" i="4"/>
  <c r="E8" i="4"/>
  <c r="E13" i="4"/>
  <c r="E14" i="4" s="1"/>
  <c r="E12" i="4"/>
  <c r="D9" i="4"/>
  <c r="C47" i="4" l="1"/>
  <c r="C17" i="4"/>
  <c r="D10" i="4"/>
  <c r="D11" i="4"/>
  <c r="D15" i="4" s="1"/>
  <c r="G4" i="4"/>
  <c r="F6" i="4"/>
  <c r="F13" i="4"/>
  <c r="F14" i="4" s="1"/>
  <c r="F8" i="4"/>
  <c r="F12" i="4"/>
  <c r="E10" i="4"/>
  <c r="E11" i="4"/>
  <c r="E15" i="4" s="1"/>
  <c r="E47" i="4" l="1"/>
  <c r="E17" i="4"/>
  <c r="G6" i="4"/>
  <c r="G13" i="4"/>
  <c r="G14" i="4" s="1"/>
  <c r="G8" i="4"/>
  <c r="G12" i="4"/>
  <c r="D47" i="4"/>
  <c r="D17" i="4"/>
  <c r="F9" i="4"/>
  <c r="F10" i="4" l="1"/>
  <c r="F11" i="4"/>
  <c r="F15" i="4" s="1"/>
  <c r="G9" i="4"/>
  <c r="G10" i="4" l="1"/>
  <c r="G11" i="4" s="1"/>
  <c r="G15" i="4" s="1"/>
  <c r="F47" i="4"/>
  <c r="F17" i="4"/>
  <c r="G47" i="4" l="1"/>
  <c r="G17" i="4"/>
  <c r="B23" i="4"/>
  <c r="B25" i="4" s="1"/>
  <c r="B26" i="4" s="1"/>
  <c r="B22" i="4"/>
  <c r="E39" i="4" l="1"/>
  <c r="I28" i="8" s="1"/>
  <c r="D39" i="4"/>
  <c r="H28" i="8" s="1"/>
  <c r="F38" i="4"/>
  <c r="E38" i="4"/>
  <c r="I27" i="8" s="1"/>
  <c r="D38" i="4"/>
  <c r="H27" i="8" s="1"/>
  <c r="C38" i="4"/>
  <c r="G27" i="8" s="1"/>
  <c r="B38" i="4"/>
  <c r="F42" i="4"/>
  <c r="F39" i="4"/>
  <c r="E42" i="4"/>
  <c r="I30" i="8" s="1"/>
  <c r="B39" i="4"/>
  <c r="D42" i="4"/>
  <c r="H30" i="8" s="1"/>
  <c r="B27" i="4"/>
  <c r="C42" i="4"/>
  <c r="G30" i="8" s="1"/>
  <c r="B42" i="4"/>
  <c r="C41" i="4"/>
  <c r="G29" i="8" s="1"/>
  <c r="F41" i="4"/>
  <c r="E41" i="4"/>
  <c r="I29" i="8" s="1"/>
  <c r="D41" i="4"/>
  <c r="H29" i="8" s="1"/>
  <c r="C39" i="4"/>
  <c r="G28" i="8" s="1"/>
  <c r="D40" i="4"/>
  <c r="B41" i="4"/>
  <c r="F40" i="4"/>
  <c r="E40" i="4"/>
  <c r="C40" i="4"/>
  <c r="B40" i="4"/>
  <c r="B29" i="4" l="1"/>
  <c r="B5" i="10"/>
  <c r="D5" i="10" s="1"/>
  <c r="B6" i="10" l="1"/>
  <c r="D6" i="10" s="1"/>
  <c r="C8" i="8"/>
  <c r="C11" i="8" s="1"/>
  <c r="B32" i="4"/>
  <c r="B8" i="8" l="1"/>
  <c r="B34" i="4"/>
  <c r="B11" i="8" l="1"/>
  <c r="H7" i="8"/>
  <c r="B9" i="10" l="1"/>
  <c r="D9" i="10" s="1"/>
  <c r="K7" i="8"/>
  <c r="B12" i="8"/>
</calcChain>
</file>

<file path=xl/sharedStrings.xml><?xml version="1.0" encoding="utf-8"?>
<sst xmlns="http://schemas.openxmlformats.org/spreadsheetml/2006/main" count="695" uniqueCount="384">
  <si>
    <t>TATA MOTORS — VALUATION &amp; INVESTMENT STRATEGY</t>
  </si>
  <si>
    <t>FY2025-26 Commercial Vehicles business | Investment Banking Valuation Model</t>
  </si>
  <si>
    <t>Company</t>
  </si>
  <si>
    <t>Tata Motors Limited (Commercial Vehicles)</t>
  </si>
  <si>
    <t>Financial Year</t>
  </si>
  <si>
    <t>FY2025-26</t>
  </si>
  <si>
    <t>Valuation Date</t>
  </si>
  <si>
    <t>7-Sep-2026 market benchmark / FY26A financial base</t>
  </si>
  <si>
    <t>Currency</t>
  </si>
  <si>
    <t>₹ crore unless stated otherwise</t>
  </si>
  <si>
    <t>Primary Source</t>
  </si>
  <si>
    <t>Tata Motors 2nd Integrated Annual Report 2025-26</t>
  </si>
  <si>
    <t>MODEL SCOPE</t>
  </si>
  <si>
    <t>Standalone Tata Motors Commercial Vehicles valuation using (1) a 5-year DCF, (2) trading comparables, (3) precedent transaction cross-check, and (4) an investment strategy simulator. FY26A historical financials are sourced from the uploaded annual report. Peer trading multiples and the 7-Sep-2026 share-price benchmark are sourced from current market-data webpages.</t>
  </si>
  <si>
    <t>COLOR KEY</t>
  </si>
  <si>
    <t>Blue text / yellow fill</t>
  </si>
  <si>
    <t>Hardcoded input / user-editable assumption</t>
  </si>
  <si>
    <t>Important modeling note: the annual-report FY25 comparison is a 9-month period following the Company's demerger and is explicitly described as not comparable to FY26. The valuation therefore uses FY26A as the clean forecast base and treats transaction multiples as a cross-check rather than a primary weighting input.</t>
  </si>
  <si>
    <t>Green text</t>
  </si>
  <si>
    <t>Formula linked from another worksheet</t>
  </si>
  <si>
    <t>Black text</t>
  </si>
  <si>
    <t>Formula / calculation</t>
  </si>
  <si>
    <t>Red text</t>
  </si>
  <si>
    <t>External link / warning where applicable</t>
  </si>
  <si>
    <t>ASSUMPTIONS &amp; MARKET INPUTS</t>
  </si>
  <si>
    <t>DCF Operating Assumptions</t>
  </si>
  <si>
    <t>Valuation &amp; Market Inputs</t>
  </si>
  <si>
    <t>Assumption</t>
  </si>
  <si>
    <t>Downside</t>
  </si>
  <si>
    <t>Base</t>
  </si>
  <si>
    <t>Upside</t>
  </si>
  <si>
    <t>Input</t>
  </si>
  <si>
    <t>Value</t>
  </si>
  <si>
    <t>Source / Note</t>
  </si>
  <si>
    <t>Revenue growth</t>
  </si>
  <si>
    <t>Selected scenario</t>
  </si>
  <si>
    <t>User-editable</t>
  </si>
  <si>
    <t>EBITDA margin</t>
  </si>
  <si>
    <t>WACC</t>
  </si>
  <si>
    <t>Model assumption</t>
  </si>
  <si>
    <t>Tax rate</t>
  </si>
  <si>
    <t>Terminal growth</t>
  </si>
  <si>
    <t>D&amp;A / Revenue</t>
  </si>
  <si>
    <t>Current share price</t>
  </si>
  <si>
    <t>Business Standard, 7-Sep-2026</t>
  </si>
  <si>
    <t>Capex / Revenue</t>
  </si>
  <si>
    <t>Equity shares outstanding (cr)</t>
  </si>
  <si>
    <t>₹736cr share capital / ₹2 face value</t>
  </si>
  <si>
    <t>NWC / Revenue</t>
  </si>
  <si>
    <t>Current market capitalisation</t>
  </si>
  <si>
    <t>Business Standard, 7-Sep-2026 (source market cap)</t>
  </si>
  <si>
    <t>FY26A revenue</t>
  </si>
  <si>
    <t>Linked from Historical Financials</t>
  </si>
  <si>
    <t>FY26A underlying EBITDA</t>
  </si>
  <si>
    <t>Tata Motors FY26 Annual Report p.214</t>
  </si>
  <si>
    <t>Selected Scenario Outputs</t>
  </si>
  <si>
    <t>FY26A total debt</t>
  </si>
  <si>
    <t>Tata Motors FY26 Annual Report p.266 / MDA</t>
  </si>
  <si>
    <t>Selected</t>
  </si>
  <si>
    <t>HISTORICAL FINANCIALS — FY2025-26</t>
  </si>
  <si>
    <t>Metric</t>
  </si>
  <si>
    <t>FY25 (9m)</t>
  </si>
  <si>
    <t>FY26A</t>
  </si>
  <si>
    <t>Source / Page</t>
  </si>
  <si>
    <t>Use</t>
  </si>
  <si>
    <t>Comment</t>
  </si>
  <si>
    <t>Revenue from operations</t>
  </si>
  <si>
    <t>Annual Report p.267</t>
  </si>
  <si>
    <t>FY25 is 9m; not comparable</t>
  </si>
  <si>
    <t>Other income</t>
  </si>
  <si>
    <t>Context</t>
  </si>
  <si>
    <t>Total income</t>
  </si>
  <si>
    <t>Cost of materials consumed</t>
  </si>
  <si>
    <t>Driver</t>
  </si>
  <si>
    <t>Employee benefits expense</t>
  </si>
  <si>
    <t>Finance costs</t>
  </si>
  <si>
    <t>Bridge</t>
  </si>
  <si>
    <t>Depreciation &amp; amortisation</t>
  </si>
  <si>
    <t>DCF</t>
  </si>
  <si>
    <t>Product development / engineering</t>
  </si>
  <si>
    <t>Other expenses</t>
  </si>
  <si>
    <t>FVTPL equity investment loss</t>
  </si>
  <si>
    <t>Exclude</t>
  </si>
  <si>
    <t>Non-operating / fair-value loss</t>
  </si>
  <si>
    <t>Profit before exceptional items &amp; tax</t>
  </si>
  <si>
    <t>Exceptional items</t>
  </si>
  <si>
    <t>Profit before tax</t>
  </si>
  <si>
    <t>Tax expense</t>
  </si>
  <si>
    <t>Tax</t>
  </si>
  <si>
    <t>Profit after tax</t>
  </si>
  <si>
    <t>Underlying EBITDA</t>
  </si>
  <si>
    <t>Annual Report p.214</t>
  </si>
  <si>
    <t>Underlying definition per MDA</t>
  </si>
  <si>
    <t>Underlying EBIT</t>
  </si>
  <si>
    <t>Operating cash flow</t>
  </si>
  <si>
    <t>Annual Report p.268</t>
  </si>
  <si>
    <t>CF</t>
  </si>
  <si>
    <t>FY26</t>
  </si>
  <si>
    <t>Free cash flow</t>
  </si>
  <si>
    <t>Annual Report p.269</t>
  </si>
  <si>
    <t>Company-defined auto FCF</t>
  </si>
  <si>
    <t>Total debt</t>
  </si>
  <si>
    <t>Annual Report pp.266/220</t>
  </si>
  <si>
    <t>Cash &amp; cash equivalents</t>
  </si>
  <si>
    <t>Annual Report p.266</t>
  </si>
  <si>
    <t>Current investments</t>
  </si>
  <si>
    <t>Short-term deposits</t>
  </si>
  <si>
    <t>Annual Report p.220</t>
  </si>
  <si>
    <t>Total liquid assets</t>
  </si>
  <si>
    <t>Total equity</t>
  </si>
  <si>
    <t>Total assets</t>
  </si>
  <si>
    <t>Inventories</t>
  </si>
  <si>
    <t>NWC</t>
  </si>
  <si>
    <t>Trade receivables</t>
  </si>
  <si>
    <t>Trade payables</t>
  </si>
  <si>
    <t>Source note: the annual report states that the FY25 comparative P&amp;L / cash flow covers only June 23, 2024 to March 31, 2025 and is not comparable with FY26.</t>
  </si>
  <si>
    <t>DISCOUNTED CASH FLOW — 5-YEAR DCF</t>
  </si>
  <si>
    <t>FY27E</t>
  </si>
  <si>
    <t>FY28E</t>
  </si>
  <si>
    <t>FY29E</t>
  </si>
  <si>
    <t>FY30E</t>
  </si>
  <si>
    <t>FY31E</t>
  </si>
  <si>
    <t>Source / Formula</t>
  </si>
  <si>
    <t>Revenue</t>
  </si>
  <si>
    <t>FY26A linked; future = prior year × (1 + growth)</t>
  </si>
  <si>
    <t>Growth</t>
  </si>
  <si>
    <t>EBITDA</t>
  </si>
  <si>
    <t>Revenue × EBITDA margin</t>
  </si>
  <si>
    <t>D&amp;A</t>
  </si>
  <si>
    <t>Revenue × D&amp;A / Revenue</t>
  </si>
  <si>
    <t>EBIT</t>
  </si>
  <si>
    <t>EBITDA − D&amp;A</t>
  </si>
  <si>
    <t>Tax on EBIT</t>
  </si>
  <si>
    <t>EBIT × tax rate</t>
  </si>
  <si>
    <t>NOPAT</t>
  </si>
  <si>
    <t>EBIT − tax on EBIT</t>
  </si>
  <si>
    <t>Capex</t>
  </si>
  <si>
    <t>Revenue × capex / revenue</t>
  </si>
  <si>
    <t>Revenue × NWC / Revenue</t>
  </si>
  <si>
    <t>Change in NWC</t>
  </si>
  <si>
    <t>Current NWC − prior year NWC</t>
  </si>
  <si>
    <t>Unlevered FCF</t>
  </si>
  <si>
    <t>NOPAT + D&amp;A − Capex − Change in NWC</t>
  </si>
  <si>
    <t>Discount factor</t>
  </si>
  <si>
    <t>1 / (1 + WACC)^t</t>
  </si>
  <si>
    <t>PV of FCF</t>
  </si>
  <si>
    <t>FCF × discount factor</t>
  </si>
  <si>
    <t>DCF VALUATION BRIDGE</t>
  </si>
  <si>
    <t>Unit</t>
  </si>
  <si>
    <t>Formula / Note</t>
  </si>
  <si>
    <t>PV of explicit FCF</t>
  </si>
  <si>
    <t>₹ cr</t>
  </si>
  <si>
    <t>SUM(PV of FCF)</t>
  </si>
  <si>
    <t>Terminal year FCF</t>
  </si>
  <si>
    <t>FY31E Unlevered FCF</t>
  </si>
  <si>
    <t>%</t>
  </si>
  <si>
    <t>Terminal value</t>
  </si>
  <si>
    <t>FY31 FCF × (1+g)/(WACC−g)</t>
  </si>
  <si>
    <t>PV of terminal value</t>
  </si>
  <si>
    <t>TV / (1+WACC)^5</t>
  </si>
  <si>
    <t>Enterprise value</t>
  </si>
  <si>
    <t>Explicit PV + PV of TV</t>
  </si>
  <si>
    <t>Net cash adjustment</t>
  </si>
  <si>
    <t>Cash &amp; equivalents − debt</t>
  </si>
  <si>
    <t>Implied equity value</t>
  </si>
  <si>
    <t>EV + net cash</t>
  </si>
  <si>
    <t>Key Output</t>
  </si>
  <si>
    <t>Interpretation</t>
  </si>
  <si>
    <t>Implied share value</t>
  </si>
  <si>
    <t>₹ / share</t>
  </si>
  <si>
    <t>DCF equity value / 368cr shares</t>
  </si>
  <si>
    <t>Current market price</t>
  </si>
  <si>
    <t>7-Sep-2026 benchmark</t>
  </si>
  <si>
    <t>Upside / (downside)</t>
  </si>
  <si>
    <t>(DCF value / current price) − 1</t>
  </si>
  <si>
    <t>WACC / Terminal Growth Sensitivity</t>
  </si>
  <si>
    <t>FCF VISUAL</t>
  </si>
  <si>
    <t>Year</t>
  </si>
  <si>
    <t>TRADING COMPARABLES — FY2026</t>
  </si>
  <si>
    <t>Ticker</t>
  </si>
  <si>
    <t>FY26 EV / Sales</t>
  </si>
  <si>
    <t>FY26 EV / EBITDA</t>
  </si>
  <si>
    <t>Source</t>
  </si>
  <si>
    <t>Tata Revenue Applied</t>
  </si>
  <si>
    <t>Tata EBITDA Applied</t>
  </si>
  <si>
    <t>Ashok Leyland</t>
  </si>
  <si>
    <t>ASHOKLEY</t>
  </si>
  <si>
    <t>Yes</t>
  </si>
  <si>
    <t>Pure-play Indian CV with financing business</t>
  </si>
  <si>
    <t>StockAnalysis</t>
  </si>
  <si>
    <t>Force Motors</t>
  </si>
  <si>
    <t>FORCEMOT</t>
  </si>
  <si>
    <t>Indian CV / light commercial vehicle exposure</t>
  </si>
  <si>
    <t>Eicher Motors</t>
  </si>
  <si>
    <t>EICHERMOT</t>
  </si>
  <si>
    <t>No</t>
  </si>
  <si>
    <t>Diversified; Royal Enfield makes it a higher-multiple cross-check</t>
  </si>
  <si>
    <t>Selected Peer Set — Ashok Leyland + Force Motors</t>
  </si>
  <si>
    <t>Selected Average</t>
  </si>
  <si>
    <t>Tata Implied EV</t>
  </si>
  <si>
    <t>Tata Implied Equity</t>
  </si>
  <si>
    <t>EV / Sales</t>
  </si>
  <si>
    <t>EV / EBITDA</t>
  </si>
  <si>
    <t>Implied share value (EV / Sales)</t>
  </si>
  <si>
    <t>Implied share value (EV / EBITDA)</t>
  </si>
  <si>
    <t>Selected Trading Value</t>
  </si>
  <si>
    <t>Method</t>
  </si>
  <si>
    <t>Implied Equity Value</t>
  </si>
  <si>
    <t>Implied Share Value</t>
  </si>
  <si>
    <t>Weight</t>
  </si>
  <si>
    <t>Weighted Share Value</t>
  </si>
  <si>
    <t>Trading Comps Selected Value</t>
  </si>
  <si>
    <t>Peer-set note: Eicher Motors is shown as a market reference but excluded from the selected median/average because it is materially diversified beyond commercial vehicles.</t>
  </si>
  <si>
    <t>PRECEDENT TRANSACTIONS — IVECO CROSS-CHECK</t>
  </si>
  <si>
    <t>Transaction</t>
  </si>
  <si>
    <t>Buyer</t>
  </si>
  <si>
    <t>Target</t>
  </si>
  <si>
    <t>Equity Consideration</t>
  </si>
  <si>
    <t>Target Revenue</t>
  </si>
  <si>
    <t>P / Sales</t>
  </si>
  <si>
    <t>Proposed IVECO acquisition</t>
  </si>
  <si>
    <t>Tata Motors</t>
  </si>
  <si>
    <t>IVECO Group</t>
  </si>
  <si>
    <t>Cross-check only — transaction structure / target mix differs from Tata CV</t>
  </si>
  <si>
    <t>Annual Report FY26 p.117 / Chairman's Message</t>
  </si>
  <si>
    <t>Transaction Bridge</t>
  </si>
  <si>
    <t>Purchase price</t>
  </si>
  <si>
    <t>€bn</t>
  </si>
  <si>
    <t>Annual report transaction evidence</t>
  </si>
  <si>
    <t>Target revenue</t>
  </si>
  <si>
    <t>2025 revenue cited by Tata Motors</t>
  </si>
  <si>
    <t>Purchase price / sales</t>
  </si>
  <si>
    <t>x</t>
  </si>
  <si>
    <t>Derived</t>
  </si>
  <si>
    <t>INR purchase consideration</t>
  </si>
  <si>
    <t>INR / EUR translation (check)</t>
  </si>
  <si>
    <t>₹/€</t>
  </si>
  <si>
    <t>Implied from reported consideration / €3.8bn</t>
  </si>
  <si>
    <t>Applied to Tata FY26 revenue</t>
  </si>
  <si>
    <t>Illustrative only — not used in selected target</t>
  </si>
  <si>
    <t>Interpretation: the IVECO transaction supplies a real-world purchase-price benchmark, but it is not a clean trading-multiple anchor for Tata Motors. The source reports the transaction as an equity consideration and the target business mix/transaction perimeter differs. Accordingly, this analysis is deliberately presented as a cross-check and is excluded from the selected valuation weighting.</t>
  </si>
  <si>
    <t>INVESTMENT STRATEGY SIMULATION</t>
  </si>
  <si>
    <t>Scenario Return Analysis</t>
  </si>
  <si>
    <t>Scenario</t>
  </si>
  <si>
    <t>DCF Share Value</t>
  </si>
  <si>
    <t>Trading Comps Share Value</t>
  </si>
  <si>
    <t>Weighted Target</t>
  </si>
  <si>
    <t>Current price</t>
  </si>
  <si>
    <t>Base-Case Position Simulator</t>
  </si>
  <si>
    <t>Input / Output</t>
  </si>
  <si>
    <t>Formula</t>
  </si>
  <si>
    <t>Editable?</t>
  </si>
  <si>
    <t>Note</t>
  </si>
  <si>
    <t>Investment amount</t>
  </si>
  <si>
    <t>₹</t>
  </si>
  <si>
    <t>User input</t>
  </si>
  <si>
    <t>Example only</t>
  </si>
  <si>
    <t>Entry price</t>
  </si>
  <si>
    <t>7-Sep-2026</t>
  </si>
  <si>
    <t>Shares purchased</t>
  </si>
  <si>
    <t>shares</t>
  </si>
  <si>
    <t>Investment / entry price</t>
  </si>
  <si>
    <t>Fractional shares shown</t>
  </si>
  <si>
    <t>Base target price</t>
  </si>
  <si>
    <t>Base weighted target</t>
  </si>
  <si>
    <t>50% DCF + 50% comps</t>
  </si>
  <si>
    <t>Target value</t>
  </si>
  <si>
    <t>Shares × target</t>
  </si>
  <si>
    <t>Profit / (loss)</t>
  </si>
  <si>
    <t>Target value − investment</t>
  </si>
  <si>
    <t>Return</t>
  </si>
  <si>
    <t>Profit / investment</t>
  </si>
  <si>
    <t>Strategy Takeaways</t>
  </si>
  <si>
    <t>Base case: use the weighted DCF + selected trading-comps value as the central target. The model is designed to show how the investment case changes if growth, margins, WACC and terminal growth move. Catalysts include sustained commercial vehicle demand, operating leverage, downstream/service growth, electrification and international expansion. Key risks include cyclicality, commodity costs, geopolitical disruption, execution risk around the proposed IVECO acquisition and valuation de-rating.</t>
  </si>
  <si>
    <t>TATA MOTORS — VALUATION DASHBOARD</t>
  </si>
  <si>
    <t>Decision-support view | FY26A historical base | 7-Sep-2026 market benchmark</t>
  </si>
  <si>
    <t>Key Valuation Outputs</t>
  </si>
  <si>
    <t>Valuation Range Visual</t>
  </si>
  <si>
    <t>₹ / Share</t>
  </si>
  <si>
    <t>Current</t>
  </si>
  <si>
    <t>Trading Comps</t>
  </si>
  <si>
    <t>Precedent</t>
  </si>
  <si>
    <t>Selected Target</t>
  </si>
  <si>
    <t>Share Value</t>
  </si>
  <si>
    <t>5-year DCF</t>
  </si>
  <si>
    <t>Selected Ashok + Force</t>
  </si>
  <si>
    <t>Precedent P/S</t>
  </si>
  <si>
    <t>Cross-check only</t>
  </si>
  <si>
    <t>50% DCF + 50% Trading Comps</t>
  </si>
  <si>
    <t>Selected Upside / (Downside)</t>
  </si>
  <si>
    <t>vs current price</t>
  </si>
  <si>
    <t>Investment View</t>
  </si>
  <si>
    <t>Indicator</t>
  </si>
  <si>
    <t>Base-case return</t>
  </si>
  <si>
    <t>Selected Target vs current price</t>
  </si>
  <si>
    <t>Current market cap</t>
  </si>
  <si>
    <t>FY26 revenue</t>
  </si>
  <si>
    <t>Annual report</t>
  </si>
  <si>
    <t>FY26 underlying EBITDA</t>
  </si>
  <si>
    <t>FY26 free cash flow</t>
  </si>
  <si>
    <t>DCF Sensitivity Snapshot</t>
  </si>
  <si>
    <t>WACC / g</t>
  </si>
  <si>
    <t>Recommendation framework: the current price is compared with intrinsic (DCF) and market-based (trading comps) values. The precedent transaction is deliberately not used in the selected target because its structure is not directly comparable.</t>
  </si>
  <si>
    <t>SOURCE REGISTER &amp; DATA LINEAGE</t>
  </si>
  <si>
    <t>Source ID</t>
  </si>
  <si>
    <t>Source / Provider</t>
  </si>
  <si>
    <t>Data Used</t>
  </si>
  <si>
    <t>As-of / Page</t>
  </si>
  <si>
    <t>URL / Reference</t>
  </si>
  <si>
    <t>Workbook Use</t>
  </si>
  <si>
    <t>TML-AR26-267</t>
  </si>
  <si>
    <t>Tata Motors FY26 Integrated Annual Report</t>
  </si>
  <si>
    <t>Consolidated P&amp;L</t>
  </si>
  <si>
    <t>p.267</t>
  </si>
  <si>
    <t>https://cv.tatamotors.com/annual-reports</t>
  </si>
  <si>
    <t>Historical FY26A financials</t>
  </si>
  <si>
    <t>TML-AR26-268-269</t>
  </si>
  <si>
    <t>Consolidated cash flow</t>
  </si>
  <si>
    <t>pp.268-269</t>
  </si>
  <si>
    <t>DCF / cash-flow cross-check</t>
  </si>
  <si>
    <t>TML-AR26-266</t>
  </si>
  <si>
    <t>Consolidated balance sheet</t>
  </si>
  <si>
    <t>p.266</t>
  </si>
  <si>
    <t>Net cash / debt bridge</t>
  </si>
  <si>
    <t>TML-AR26-214</t>
  </si>
  <si>
    <t>Underlying EBITDA / EBIT</t>
  </si>
  <si>
    <t>p.214</t>
  </si>
  <si>
    <t>DCF operating base</t>
  </si>
  <si>
    <t>TML-AR26-117</t>
  </si>
  <si>
    <t>IVECO purchase consideration / revenue</t>
  </si>
  <si>
    <t>p.117</t>
  </si>
  <si>
    <t>Precedent transaction cross-check</t>
  </si>
  <si>
    <t>TML-AR26-220</t>
  </si>
  <si>
    <t>Liquidity / liquid assets / net cash</t>
  </si>
  <si>
    <t>p.220</t>
  </si>
  <si>
    <t>Bridge context</t>
  </si>
  <si>
    <t>MKT-TMCV-20260907</t>
  </si>
  <si>
    <t>Business Standard</t>
  </si>
  <si>
    <t>Tata Motors share price / market cap</t>
  </si>
  <si>
    <t>https://www.business-standard.com/markets/tata-motors-ltd-share-price-93137.html</t>
  </si>
  <si>
    <t>Current market benchmark</t>
  </si>
  <si>
    <t>COMP-ASHOK</t>
  </si>
  <si>
    <t>Ashok Leyland FY26 EV/Sales and EV/EBITDA</t>
  </si>
  <si>
    <t>FY2026</t>
  </si>
  <si>
    <t>https://stockanalysis.com/quote/nse/ASHOKLEY/financials/ratios/</t>
  </si>
  <si>
    <t>Trading comps</t>
  </si>
  <si>
    <t>COMP-FORCE</t>
  </si>
  <si>
    <t>Force Motors FY26 EV/Sales and EV/EBITDA</t>
  </si>
  <si>
    <t>https://stockanalysis.com/quote/nse/FORCEMOT/financials/ratios/</t>
  </si>
  <si>
    <t>COMP-EICHER</t>
  </si>
  <si>
    <t>Eicher Motors FY26 EV/Sales and EV/EBITDA</t>
  </si>
  <si>
    <t>https://stockanalysis.com/quote/nse/EICHERMOT/financials/ratios/</t>
  </si>
  <si>
    <t>Reference comp only</t>
  </si>
  <si>
    <t>FORCE-FS</t>
  </si>
  <si>
    <t>Force Motors FY26 revenue / EBITDA / FCF</t>
  </si>
  <si>
    <t>https://stockanalysis.com/quote/nse/FORCEMOT/financials/income-statement/</t>
  </si>
  <si>
    <t>Peer context</t>
  </si>
  <si>
    <t>ASHOK-SEG</t>
  </si>
  <si>
    <t>Ashok Leyland FY26 commercial-vehicle revenue</t>
  </si>
  <si>
    <t>https://stockanalysis.com/quote/nse/ASHOKLEY/financials/metrics/</t>
  </si>
  <si>
    <t>EICHER-FS</t>
  </si>
  <si>
    <t>Eicher Motors FY26 revenue / operating income</t>
  </si>
  <si>
    <t>https://stockanalysis.com/quote/bom/505200/financials/</t>
  </si>
  <si>
    <t>MODEL CHECKS</t>
  </si>
  <si>
    <t>Check</t>
  </si>
  <si>
    <t>Result</t>
  </si>
  <si>
    <t>Expected</t>
  </si>
  <si>
    <t>Status</t>
  </si>
  <si>
    <t>Source / Logic</t>
  </si>
  <si>
    <t>Balance sheet balances</t>
  </si>
  <si>
    <t>Historical Financials</t>
  </si>
  <si>
    <t>Total assets = equity + liabilities</t>
  </si>
  <si>
    <t>DCF EV calculation</t>
  </si>
  <si>
    <t>EV = PV explicit + PV terminal</t>
  </si>
  <si>
    <t>DCF equity bridge</t>
  </si>
  <si>
    <t>Equity = EV + net cash adjustment</t>
  </si>
  <si>
    <t>Trading weights</t>
  </si>
  <si>
    <t>Weights sum to 100%</t>
  </si>
  <si>
    <t>Shares outstanding</t>
  </si>
  <si>
    <t>Assumptions</t>
  </si>
  <si>
    <t>Equity share capital ₹736cr / ₹2 face value</t>
  </si>
  <si>
    <t>Selected target formula</t>
  </si>
  <si>
    <t>Dashboard</t>
  </si>
  <si>
    <t>Selected target = average DCF &amp; trading comps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</si>
</sst>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Red]\(0.0%\);\-"/>
    <numFmt numFmtId="165" formatCode="\₹#,##0.00;[Red]\(\₹#,##0.00\);\-"/>
    <numFmt numFmtId="166" formatCode="#,##0.0;[Red]\(#,##0.0\);\-"/>
    <numFmt numFmtId="167" formatCode="#,##0;[Red]\(#,##0\);\-"/>
    <numFmt numFmtId="168" formatCode="0.00\x"/>
    <numFmt numFmtId="169" formatCode="0.0\x;[Red]\(0.0\x\);\-"/>
    <numFmt numFmtId="170" formatCode="\€#,##0.0;[Red]\(\€#,##0.0\);\-"/>
    <numFmt numFmtId="171" formatCode="\₹#,##0;[Red]\(\₹#,##0\);\-"/>
    <numFmt numFmtId="172" formatCode="0.0"/>
    <numFmt numFmtId="173" formatCode="0.0%"/>
  </numFmts>
  <fonts count="13">
    <font>
      <sz val="11"/>
      <name val="Carlito"/>
    </font>
    <font>
      <b/>
      <sz val="16"/>
      <color rgb="FFFFFFFF"/>
      <name val="Carlito"/>
    </font>
    <font>
      <i/>
      <sz val="11"/>
      <color rgb="FF595959"/>
      <name val="Carlito"/>
    </font>
    <font>
      <b/>
      <sz val="11"/>
      <color rgb="FF17365D"/>
      <name val="Carlito"/>
    </font>
    <font>
      <sz val="11"/>
      <color rgb="FF000000"/>
      <name val="Carlito"/>
    </font>
    <font>
      <b/>
      <sz val="11"/>
      <color rgb="FF0000FF"/>
      <name val="Carlito"/>
    </font>
    <font>
      <b/>
      <sz val="11"/>
      <color rgb="FF008000"/>
      <name val="Carlito"/>
    </font>
    <font>
      <b/>
      <sz val="11"/>
      <color rgb="FF000000"/>
      <name val="Carlito"/>
    </font>
    <font>
      <b/>
      <sz val="11"/>
      <color rgb="FFFF0000"/>
      <name val="Carlito"/>
    </font>
    <font>
      <b/>
      <sz val="11"/>
      <color rgb="FFFFFFFF"/>
      <name val="Carlito"/>
    </font>
    <font>
      <sz val="11"/>
      <color rgb="FF0000FF"/>
      <name val="Carlito"/>
    </font>
    <font>
      <sz val="11"/>
      <color rgb="FF008000"/>
      <name val="Carlito"/>
    </font>
    <font>
      <sz val="11"/>
      <color rgb="FFFF0000"/>
      <name val="Carlito"/>
    </font>
  </fonts>
  <fills count="8">
    <fill>
      <patternFill patternType="none"/>
    </fill>
    <fill>
      <patternFill patternType="gray125"/>
    </fill>
    <fill>
      <patternFill patternType="solid">
        <fgColor rgb="FF17365D"/>
      </patternFill>
    </fill>
    <fill>
      <patternFill patternType="solid">
        <fgColor rgb="FFE7E6E6"/>
      </patternFill>
    </fill>
    <fill>
      <patternFill patternType="solid">
        <fgColor rgb="FFFFF2CC"/>
      </patternFill>
    </fill>
    <fill>
      <patternFill patternType="solid">
        <fgColor rgb="FFEAF2F8"/>
      </patternFill>
    </fill>
    <fill>
      <patternFill patternType="solid">
        <fgColor rgb="FFD9EAF7"/>
      </patternFill>
    </fill>
    <fill>
      <patternFill patternType="solid">
        <fgColor rgb="FFFCE4D6"/>
      </patternFill>
    </fill>
  </fills>
  <borders count="1">
    <border>
      <left/>
      <right/>
      <top/>
      <bottom/>
      <diagonal/>
    </border>
  </borders>
  <cellStyleXfs count="1">
    <xf numFmtId="0" fontId="0" fillId="0" borderId="0"/>
  </cellStyleXfs>
  <cellXfs count="47">
    <xf numFmtId="0" fontId="0" fillId="0" borderId="0" xfId="0"/>
    <xf numFmtId="0" fontId="3" fillId="0" borderId="0" xfId="0" applyFont="1"/>
    <xf numFmtId="0" fontId="4" fillId="0" borderId="0" xfId="0" applyFont="1"/>
    <xf numFmtId="0" fontId="5" fillId="4" borderId="0" xfId="0" applyFont="1" applyFill="1"/>
    <xf numFmtId="0" fontId="6" fillId="0" borderId="0" xfId="0" applyFont="1"/>
    <xf numFmtId="0" fontId="7" fillId="0" borderId="0" xfId="0" applyFont="1"/>
    <xf numFmtId="0" fontId="8" fillId="0" borderId="0" xfId="0" applyFont="1"/>
    <xf numFmtId="0" fontId="7" fillId="6" borderId="0" xfId="0" applyFont="1" applyFill="1" applyAlignment="1">
      <alignment horizontal="right" vertical="center" wrapText="1"/>
    </xf>
    <xf numFmtId="0" fontId="10" fillId="4" borderId="0" xfId="0" applyFont="1" applyFill="1"/>
    <xf numFmtId="164" fontId="10" fillId="4" borderId="0" xfId="0" applyNumberFormat="1" applyFont="1" applyFill="1"/>
    <xf numFmtId="49" fontId="10" fillId="4" borderId="0" xfId="0" applyNumberFormat="1" applyFont="1" applyFill="1"/>
    <xf numFmtId="165" fontId="10" fillId="4" borderId="0" xfId="0" applyNumberFormat="1" applyFont="1" applyFill="1"/>
    <xf numFmtId="166" fontId="10" fillId="4" borderId="0" xfId="0" applyNumberFormat="1" applyFont="1" applyFill="1"/>
    <xf numFmtId="167" fontId="11" fillId="0" borderId="0" xfId="0" applyNumberFormat="1" applyFont="1"/>
    <xf numFmtId="167" fontId="10" fillId="4" borderId="0" xfId="0" applyNumberFormat="1" applyFont="1" applyFill="1"/>
    <xf numFmtId="0" fontId="2" fillId="0" borderId="0" xfId="0" applyFont="1" applyAlignment="1">
      <alignment wrapText="1"/>
    </xf>
    <xf numFmtId="164" fontId="4" fillId="0" borderId="0" xfId="0" applyNumberFormat="1" applyFont="1"/>
    <xf numFmtId="0" fontId="0" fillId="0" borderId="0" xfId="0" applyAlignment="1">
      <alignment horizontal="left"/>
    </xf>
    <xf numFmtId="0" fontId="0" fillId="0" borderId="0" xfId="0" applyAlignment="1">
      <alignment wrapText="1"/>
    </xf>
    <xf numFmtId="167" fontId="0" fillId="0" borderId="0" xfId="0" applyNumberFormat="1" applyAlignment="1">
      <alignment horizontal="right"/>
    </xf>
    <xf numFmtId="167" fontId="4" fillId="0" borderId="0" xfId="0" applyNumberFormat="1" applyFont="1"/>
    <xf numFmtId="168" fontId="4" fillId="0" borderId="0" xfId="0" applyNumberFormat="1" applyFont="1"/>
    <xf numFmtId="165" fontId="4" fillId="0" borderId="0" xfId="0" applyNumberFormat="1" applyFont="1"/>
    <xf numFmtId="164" fontId="5" fillId="4" borderId="0" xfId="0" applyNumberFormat="1" applyFont="1" applyFill="1" applyAlignment="1">
      <alignment horizontal="right" vertical="center" wrapText="1"/>
    </xf>
    <xf numFmtId="169" fontId="10" fillId="4" borderId="0" xfId="0" applyNumberFormat="1" applyFont="1" applyFill="1"/>
    <xf numFmtId="169" fontId="4" fillId="0" borderId="0" xfId="0" applyNumberFormat="1" applyFont="1"/>
    <xf numFmtId="170" fontId="10" fillId="4" borderId="0" xfId="0" applyNumberFormat="1" applyFont="1" applyFill="1"/>
    <xf numFmtId="171" fontId="10" fillId="4" borderId="0" xfId="0" applyNumberFormat="1" applyFont="1" applyFill="1"/>
    <xf numFmtId="2" fontId="4" fillId="0" borderId="0" xfId="0" applyNumberFormat="1" applyFont="1"/>
    <xf numFmtId="171" fontId="4" fillId="0" borderId="0" xfId="0" applyNumberFormat="1" applyFont="1"/>
    <xf numFmtId="0" fontId="12" fillId="0" borderId="0" xfId="0" applyFont="1" applyAlignment="1">
      <alignment wrapText="1"/>
    </xf>
    <xf numFmtId="172" fontId="4" fillId="0" borderId="0" xfId="0" applyNumberFormat="1" applyFont="1"/>
    <xf numFmtId="166" fontId="4" fillId="0" borderId="0" xfId="0" applyNumberFormat="1" applyFont="1"/>
    <xf numFmtId="173" fontId="10" fillId="4" borderId="0" xfId="0" applyNumberFormat="1" applyFont="1" applyFill="1"/>
    <xf numFmtId="173" fontId="7" fillId="6" borderId="0" xfId="0" applyNumberFormat="1" applyFont="1" applyFill="1" applyAlignment="1">
      <alignment horizontal="right" vertical="center" wrapText="1"/>
    </xf>
    <xf numFmtId="173" fontId="0" fillId="0" borderId="0" xfId="0" applyNumberFormat="1"/>
    <xf numFmtId="166" fontId="11" fillId="0" borderId="0" xfId="0" applyNumberFormat="1" applyFont="1"/>
    <xf numFmtId="0" fontId="1" fillId="2" borderId="0" xfId="0" applyFont="1" applyFill="1" applyAlignment="1">
      <alignment horizontal="left" vertical="center"/>
    </xf>
    <xf numFmtId="0" fontId="2" fillId="0" borderId="0" xfId="0" applyFont="1" applyAlignment="1">
      <alignment vertical="center"/>
    </xf>
    <xf numFmtId="0" fontId="3" fillId="3" borderId="0" xfId="0" applyFont="1" applyFill="1"/>
    <xf numFmtId="0" fontId="4" fillId="0" borderId="0" xfId="0" applyFont="1" applyAlignment="1">
      <alignment vertical="top" wrapText="1"/>
    </xf>
    <xf numFmtId="0" fontId="0" fillId="5" borderId="0" xfId="0" applyFill="1" applyAlignment="1">
      <alignment vertical="top" wrapText="1"/>
    </xf>
    <xf numFmtId="0" fontId="9" fillId="2" borderId="0" xfId="0" applyFont="1" applyFill="1" applyAlignment="1">
      <alignment horizontal="left" vertical="center"/>
    </xf>
    <xf numFmtId="0" fontId="2" fillId="7" borderId="0" xfId="0" applyFont="1" applyFill="1" applyAlignment="1">
      <alignment wrapText="1"/>
    </xf>
    <xf numFmtId="0" fontId="2" fillId="5" borderId="0" xfId="0" applyFont="1" applyFill="1" applyAlignment="1">
      <alignment wrapText="1"/>
    </xf>
    <xf numFmtId="0" fontId="0" fillId="7" borderId="0" xfId="0" applyFill="1" applyAlignment="1">
      <alignment vertical="top" wrapText="1"/>
    </xf>
    <xf numFmtId="0" fontId="2" fillId="0" borderId="0" xfId="0" applyFont="1"/>
  </cellXfs>
  <cellStyles count="1">
    <cellStyle name="Normal" xfId="0" builtinId="0"/>
  </cellStyles>
  <dxfs count="3">
    <dxf>
      <font>
        <color rgb="FFFF0000"/>
      </font>
      <fill>
        <patternFill patternType="solid">
          <bgColor rgb="FFFCE4D6"/>
        </patternFill>
      </fill>
    </dxf>
    <dxf>
      <font>
        <color rgb="FF006100"/>
      </font>
      <fill>
        <patternFill patternType="solid">
          <bgColor rgb="FFE2F0D9"/>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Unlevered FCF Forecast</a:t>
            </a:r>
          </a:p>
        </c:rich>
      </c:tx>
      <c:overlay val="1"/>
    </c:title>
    <c:autoTitleDeleted val="0"/>
    <c:plotArea>
      <c:layout/>
      <c:lineChart>
        <c:grouping val="standard"/>
        <c:varyColors val="1"/>
        <c:ser>
          <c:idx val="0"/>
          <c:order val="0"/>
          <c:tx>
            <c:v>Unlevered FCF</c:v>
          </c:tx>
          <c:marker>
            <c:symbol val="none"/>
          </c:marker>
          <c:cat>
            <c:strLit>
              <c:ptCount val="6"/>
              <c:pt idx="0">
                <c:v>FY26A</c:v>
              </c:pt>
              <c:pt idx="1">
                <c:v>FY27E</c:v>
              </c:pt>
              <c:pt idx="2">
                <c:v>FY28E</c:v>
              </c:pt>
              <c:pt idx="3">
                <c:v>FY29E</c:v>
              </c:pt>
              <c:pt idx="4">
                <c:v>FY30E</c:v>
              </c:pt>
              <c:pt idx="5">
                <c:v>FY31E</c:v>
              </c:pt>
            </c:strLit>
          </c:cat>
          <c:val>
            <c:numLit>
              <c:formatCode>General</c:formatCode>
              <c:ptCount val="6"/>
              <c:pt idx="0">
                <c:v>5286.8249999999998</c:v>
              </c:pt>
              <c:pt idx="1">
                <c:v>5464.4110750000009</c:v>
              </c:pt>
              <c:pt idx="2">
                <c:v>5846.9198502500003</c:v>
              </c:pt>
              <c:pt idx="3">
                <c:v>6256.2042397675013</c:v>
              </c:pt>
              <c:pt idx="4">
                <c:v>6694.1385365512269</c:v>
              </c:pt>
              <c:pt idx="5">
                <c:v>7162.7282341098135</c:v>
              </c:pt>
            </c:numLit>
          </c:val>
          <c:smooth val="1"/>
          <c:extLst>
            <c:ext xmlns:c16="http://schemas.microsoft.com/office/drawing/2014/chart" uri="{C3380CC4-5D6E-409C-BE32-E72D297353CC}">
              <c16:uniqueId val="{00000000-F74F-4793-9927-E013F810BA34}"/>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Peer Valuation Multiples</a:t>
            </a:r>
          </a:p>
        </c:rich>
      </c:tx>
      <c:overlay val="1"/>
    </c:title>
    <c:autoTitleDeleted val="0"/>
    <c:plotArea>
      <c:layout/>
      <c:lineChart>
        <c:grouping val="standard"/>
        <c:varyColors val="1"/>
        <c:ser>
          <c:idx val="0"/>
          <c:order val="0"/>
          <c:tx>
            <c:v>EV / Sales</c:v>
          </c:tx>
          <c:marker>
            <c:symbol val="none"/>
          </c:marker>
          <c:cat>
            <c:strRef>
              <c:f>'Trading Comps'!$A$28:$A$30</c:f>
              <c:strCache>
                <c:ptCount val="3"/>
                <c:pt idx="0">
                  <c:v>Ashok Leyland</c:v>
                </c:pt>
                <c:pt idx="1">
                  <c:v>Force Motors</c:v>
                </c:pt>
                <c:pt idx="2">
                  <c:v>Eicher Motors</c:v>
                </c:pt>
              </c:strCache>
            </c:strRef>
          </c:cat>
          <c:val>
            <c:numRef>
              <c:f>'Trading Comps'!$B$28:$B$30</c:f>
              <c:numCache>
                <c:formatCode>0.0\x;[Red]\(0.0\x\);\-</c:formatCode>
                <c:ptCount val="3"/>
                <c:pt idx="0">
                  <c:v>2.48</c:v>
                </c:pt>
                <c:pt idx="1">
                  <c:v>2.77</c:v>
                </c:pt>
                <c:pt idx="2">
                  <c:v>7.57</c:v>
                </c:pt>
              </c:numCache>
            </c:numRef>
          </c:val>
          <c:smooth val="1"/>
          <c:extLst>
            <c:ext xmlns:c16="http://schemas.microsoft.com/office/drawing/2014/chart" uri="{C3380CC4-5D6E-409C-BE32-E72D297353CC}">
              <c16:uniqueId val="{00000000-CBAE-44E4-888C-3C63E36EDF28}"/>
            </c:ext>
          </c:extLst>
        </c:ser>
        <c:ser>
          <c:idx val="1"/>
          <c:order val="1"/>
          <c:tx>
            <c:v>EV / EBITDA</c:v>
          </c:tx>
          <c:marker>
            <c:symbol val="none"/>
          </c:marker>
          <c:cat>
            <c:strRef>
              <c:f>'Trading Comps'!$A$28:$A$30</c:f>
              <c:strCache>
                <c:ptCount val="3"/>
                <c:pt idx="0">
                  <c:v>Ashok Leyland</c:v>
                </c:pt>
                <c:pt idx="1">
                  <c:v>Force Motors</c:v>
                </c:pt>
                <c:pt idx="2">
                  <c:v>Eicher Motors</c:v>
                </c:pt>
              </c:strCache>
            </c:strRef>
          </c:cat>
          <c:val>
            <c:numRef>
              <c:f>'Trading Comps'!$C$28:$C$30</c:f>
              <c:numCache>
                <c:formatCode>0.0\x;[Red]\(0.0\x\);\-</c:formatCode>
                <c:ptCount val="3"/>
                <c:pt idx="0">
                  <c:v>11.6</c:v>
                </c:pt>
                <c:pt idx="1">
                  <c:v>16.78</c:v>
                </c:pt>
                <c:pt idx="2">
                  <c:v>32.4</c:v>
                </c:pt>
              </c:numCache>
            </c:numRef>
          </c:val>
          <c:smooth val="1"/>
          <c:extLst>
            <c:ext xmlns:c16="http://schemas.microsoft.com/office/drawing/2014/chart" uri="{C3380CC4-5D6E-409C-BE32-E72D297353CC}">
              <c16:uniqueId val="{00000001-CBAE-44E4-888C-3C63E36EDF28}"/>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x;[Red]\(0.0\x\);\-"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Scenario Share-Value Range</a:t>
            </a:r>
          </a:p>
        </c:rich>
      </c:tx>
      <c:overlay val="1"/>
    </c:title>
    <c:autoTitleDeleted val="0"/>
    <c:plotArea>
      <c:layout/>
      <c:lineChart>
        <c:grouping val="standard"/>
        <c:varyColors val="1"/>
        <c:ser>
          <c:idx val="0"/>
          <c:order val="0"/>
          <c:tx>
            <c:v>DCF</c:v>
          </c:tx>
          <c:marker>
            <c:symbol val="none"/>
          </c:marker>
          <c:cat>
            <c:strLit>
              <c:ptCount val="3"/>
              <c:pt idx="0">
                <c:v>Downside</c:v>
              </c:pt>
              <c:pt idx="1">
                <c:v>Base</c:v>
              </c:pt>
              <c:pt idx="2">
                <c:v>Upside</c:v>
              </c:pt>
            </c:strLit>
          </c:cat>
          <c:val>
            <c:numLit>
              <c:formatCode>General</c:formatCode>
              <c:ptCount val="3"/>
              <c:pt idx="0">
                <c:v>191.46674689440988</c:v>
              </c:pt>
              <c:pt idx="1">
                <c:v>239.50800352704613</c:v>
              </c:pt>
              <c:pt idx="2">
                <c:v>271.35210907346254</c:v>
              </c:pt>
            </c:numLit>
          </c:val>
          <c:smooth val="1"/>
          <c:extLst>
            <c:ext xmlns:c16="http://schemas.microsoft.com/office/drawing/2014/chart" uri="{C3380CC4-5D6E-409C-BE32-E72D297353CC}">
              <c16:uniqueId val="{00000000-5BD2-4F89-9470-CB1AEEDDCAB7}"/>
            </c:ext>
          </c:extLst>
        </c:ser>
        <c:ser>
          <c:idx val="1"/>
          <c:order val="1"/>
          <c:tx>
            <c:v>Trading Comps</c:v>
          </c:tx>
          <c:marker>
            <c:symbol val="none"/>
          </c:marker>
          <c:cat>
            <c:strLit>
              <c:ptCount val="3"/>
              <c:pt idx="0">
                <c:v>Downside</c:v>
              </c:pt>
              <c:pt idx="1">
                <c:v>Base</c:v>
              </c:pt>
              <c:pt idx="2">
                <c:v>Upside</c:v>
              </c:pt>
            </c:strLit>
          </c:cat>
          <c:val>
            <c:numLit>
              <c:formatCode>General</c:formatCode>
              <c:ptCount val="3"/>
              <c:pt idx="0">
                <c:v>503.58564538043476</c:v>
              </c:pt>
              <c:pt idx="1">
                <c:v>503.58564538043476</c:v>
              </c:pt>
              <c:pt idx="2">
                <c:v>503.58564538043476</c:v>
              </c:pt>
            </c:numLit>
          </c:val>
          <c:smooth val="1"/>
          <c:extLst>
            <c:ext xmlns:c16="http://schemas.microsoft.com/office/drawing/2014/chart" uri="{C3380CC4-5D6E-409C-BE32-E72D297353CC}">
              <c16:uniqueId val="{00000001-5BD2-4F89-9470-CB1AEEDDCAB7}"/>
            </c:ext>
          </c:extLst>
        </c:ser>
        <c:ser>
          <c:idx val="2"/>
          <c:order val="2"/>
          <c:tx>
            <c:v>Weighted Target</c:v>
          </c:tx>
          <c:marker>
            <c:symbol val="none"/>
          </c:marker>
          <c:cat>
            <c:strLit>
              <c:ptCount val="3"/>
              <c:pt idx="0">
                <c:v>Downside</c:v>
              </c:pt>
              <c:pt idx="1">
                <c:v>Base</c:v>
              </c:pt>
              <c:pt idx="2">
                <c:v>Upside</c:v>
              </c:pt>
            </c:strLit>
          </c:cat>
          <c:val>
            <c:numLit>
              <c:formatCode>General</c:formatCode>
              <c:ptCount val="3"/>
              <c:pt idx="0">
                <c:v>347.52619613742229</c:v>
              </c:pt>
              <c:pt idx="1">
                <c:v>371.54682445374044</c:v>
              </c:pt>
              <c:pt idx="2">
                <c:v>387.46887722694862</c:v>
              </c:pt>
            </c:numLit>
          </c:val>
          <c:smooth val="1"/>
          <c:extLst>
            <c:ext xmlns:c16="http://schemas.microsoft.com/office/drawing/2014/chart" uri="{C3380CC4-5D6E-409C-BE32-E72D297353CC}">
              <c16:uniqueId val="{00000002-5BD2-4F89-9470-CB1AEEDDCAB7}"/>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Share Value by Valuation Method</a:t>
            </a:r>
          </a:p>
        </c:rich>
      </c:tx>
      <c:overlay val="1"/>
    </c:title>
    <c:autoTitleDeleted val="0"/>
    <c:plotArea>
      <c:layout/>
      <c:lineChart>
        <c:grouping val="standard"/>
        <c:varyColors val="1"/>
        <c:ser>
          <c:idx val="0"/>
          <c:order val="0"/>
          <c:tx>
            <c:v>₹ / Share</c:v>
          </c:tx>
          <c:marker>
            <c:symbol val="none"/>
          </c:marker>
          <c:cat>
            <c:strLit>
              <c:ptCount val="5"/>
              <c:pt idx="0">
                <c:v>Current</c:v>
              </c:pt>
              <c:pt idx="1">
                <c:v>DCF</c:v>
              </c:pt>
              <c:pt idx="2">
                <c:v>Trading Comps</c:v>
              </c:pt>
              <c:pt idx="3">
                <c:v>Precedent</c:v>
              </c:pt>
              <c:pt idx="4">
                <c:v>Selected Target</c:v>
              </c:pt>
            </c:strLit>
          </c:cat>
          <c:val>
            <c:numLit>
              <c:formatCode>General</c:formatCode>
              <c:ptCount val="5"/>
              <c:pt idx="0">
                <c:v>459.1</c:v>
              </c:pt>
              <c:pt idx="1">
                <c:v>239.50800352704621</c:v>
              </c:pt>
              <c:pt idx="2">
                <c:v>503.58564538043476</c:v>
              </c:pt>
              <c:pt idx="3">
                <c:v>64.618956846203758</c:v>
              </c:pt>
              <c:pt idx="4">
                <c:v>371.5468244537405</c:v>
              </c:pt>
            </c:numLit>
          </c:val>
          <c:smooth val="1"/>
          <c:extLst>
            <c:ext xmlns:c16="http://schemas.microsoft.com/office/drawing/2014/chart" uri="{C3380CC4-5D6E-409C-BE32-E72D297353CC}">
              <c16:uniqueId val="{00000000-35D7-4037-9565-EAE46FA0B147}"/>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48</xdr:row>
      <xdr:rowOff>0</xdr:rowOff>
    </xdr:from>
    <xdr:to>
      <xdr:col>8</xdr:col>
      <xdr:colOff>0</xdr:colOff>
      <xdr:row>66</xdr:row>
      <xdr:rowOff>0</xdr:rowOff>
    </xdr:to>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17</xdr:row>
      <xdr:rowOff>0</xdr:rowOff>
    </xdr:from>
    <xdr:to>
      <xdr:col>13</xdr:col>
      <xdr:colOff>0</xdr:colOff>
      <xdr:row>35</xdr:row>
      <xdr:rowOff>0</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3</xdr:row>
      <xdr:rowOff>0</xdr:rowOff>
    </xdr:from>
    <xdr:to>
      <xdr:col>13</xdr:col>
      <xdr:colOff>0</xdr:colOff>
      <xdr:row>18</xdr:row>
      <xdr:rowOff>0</xdr:rowOff>
    </xdr:to>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8</xdr:row>
      <xdr:rowOff>0</xdr:rowOff>
    </xdr:from>
    <xdr:to>
      <xdr:col>12</xdr:col>
      <xdr:colOff>0</xdr:colOff>
      <xdr:row>23</xdr:row>
      <xdr:rowOff>0</xdr:rowOff>
    </xdr:to>
    <xdr:graphicFrame macro="">
      <xdr:nvGraphicFramePr>
        <xdr:cNvPr id="2" nam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showGridLines="0" tabSelected="1" workbookViewId="0">
      <selection activeCell="A4" sqref="A4:XFD4"/>
    </sheetView>
  </sheetViews>
  <sheetFormatPr defaultRowHeight="13.8"/>
  <cols>
    <col min="1" max="1" width="24" customWidth="1"/>
    <col min="2" max="2" width="40" customWidth="1"/>
    <col min="3" max="3" width="3" customWidth="1"/>
    <col min="4" max="8" width="18" customWidth="1"/>
  </cols>
  <sheetData>
    <row r="1" spans="1:8" ht="28.05" customHeight="1">
      <c r="A1" s="37" t="s">
        <v>0</v>
      </c>
      <c r="B1" s="37" t="s">
        <v>0</v>
      </c>
      <c r="C1" s="37" t="s">
        <v>0</v>
      </c>
      <c r="D1" s="37" t="s">
        <v>0</v>
      </c>
      <c r="E1" s="37" t="s">
        <v>0</v>
      </c>
      <c r="F1" s="37" t="s">
        <v>0</v>
      </c>
      <c r="G1" s="37" t="s">
        <v>0</v>
      </c>
      <c r="H1" s="37" t="s">
        <v>0</v>
      </c>
    </row>
    <row r="2" spans="1:8" ht="19.95" customHeight="1">
      <c r="A2" s="38" t="s">
        <v>1</v>
      </c>
      <c r="B2" s="38"/>
      <c r="C2" s="38"/>
      <c r="D2" s="38"/>
      <c r="E2" s="38"/>
      <c r="F2" s="38"/>
      <c r="G2" s="38"/>
      <c r="H2" s="38"/>
    </row>
    <row r="4" spans="1:8">
      <c r="A4" s="1" t="s">
        <v>2</v>
      </c>
      <c r="B4" s="2" t="s">
        <v>3</v>
      </c>
    </row>
    <row r="5" spans="1:8">
      <c r="A5" s="1" t="s">
        <v>4</v>
      </c>
      <c r="B5" s="2" t="s">
        <v>5</v>
      </c>
    </row>
    <row r="6" spans="1:8">
      <c r="A6" s="1" t="s">
        <v>6</v>
      </c>
      <c r="B6" s="2" t="s">
        <v>7</v>
      </c>
    </row>
    <row r="7" spans="1:8">
      <c r="A7" s="1" t="s">
        <v>8</v>
      </c>
      <c r="B7" s="2" t="s">
        <v>9</v>
      </c>
    </row>
    <row r="8" spans="1:8">
      <c r="A8" s="1" t="s">
        <v>10</v>
      </c>
      <c r="B8" s="2" t="s">
        <v>11</v>
      </c>
    </row>
    <row r="10" spans="1:8">
      <c r="A10" s="39" t="s">
        <v>12</v>
      </c>
      <c r="B10" s="39"/>
      <c r="C10" s="39"/>
      <c r="D10" s="39"/>
      <c r="E10" s="39"/>
      <c r="F10" s="39"/>
      <c r="G10" s="39"/>
      <c r="H10" s="39"/>
    </row>
    <row r="11" spans="1:8">
      <c r="A11" s="40" t="s">
        <v>13</v>
      </c>
      <c r="B11" s="40"/>
      <c r="C11" s="40"/>
      <c r="D11" s="40"/>
      <c r="E11" s="40"/>
      <c r="F11" s="40"/>
      <c r="G11" s="40"/>
      <c r="H11" s="40"/>
    </row>
    <row r="12" spans="1:8">
      <c r="A12" s="40"/>
      <c r="B12" s="40"/>
      <c r="C12" s="40"/>
      <c r="D12" s="40"/>
      <c r="E12" s="40"/>
      <c r="F12" s="40"/>
      <c r="G12" s="40"/>
      <c r="H12" s="40"/>
    </row>
    <row r="13" spans="1:8">
      <c r="A13" s="40"/>
      <c r="B13" s="40"/>
      <c r="C13" s="40"/>
      <c r="D13" s="40"/>
      <c r="E13" s="40"/>
      <c r="F13" s="40"/>
      <c r="G13" s="40"/>
      <c r="H13" s="40"/>
    </row>
    <row r="14" spans="1:8">
      <c r="A14" s="40"/>
      <c r="B14" s="40"/>
      <c r="C14" s="40"/>
      <c r="D14" s="40"/>
      <c r="E14" s="40"/>
      <c r="F14" s="40"/>
      <c r="G14" s="40"/>
      <c r="H14" s="40"/>
    </row>
    <row r="16" spans="1:8">
      <c r="A16" s="39" t="s">
        <v>14</v>
      </c>
      <c r="B16" s="39"/>
      <c r="C16" s="39"/>
      <c r="D16" s="39"/>
      <c r="E16" s="39"/>
      <c r="F16" s="39"/>
      <c r="G16" s="39"/>
      <c r="H16" s="39"/>
    </row>
    <row r="17" spans="1:8">
      <c r="A17" s="3" t="s">
        <v>15</v>
      </c>
      <c r="B17" t="s">
        <v>16</v>
      </c>
      <c r="D17" s="41" t="s">
        <v>17</v>
      </c>
      <c r="E17" s="41"/>
      <c r="F17" s="41"/>
      <c r="G17" s="41"/>
      <c r="H17" s="41"/>
    </row>
    <row r="18" spans="1:8">
      <c r="A18" s="4" t="s">
        <v>18</v>
      </c>
      <c r="B18" t="s">
        <v>19</v>
      </c>
      <c r="D18" s="41"/>
      <c r="E18" s="41"/>
      <c r="F18" s="41"/>
      <c r="G18" s="41"/>
      <c r="H18" s="41"/>
    </row>
    <row r="19" spans="1:8">
      <c r="A19" s="5" t="s">
        <v>20</v>
      </c>
      <c r="B19" t="s">
        <v>21</v>
      </c>
      <c r="D19" s="41"/>
      <c r="E19" s="41"/>
      <c r="F19" s="41"/>
      <c r="G19" s="41"/>
      <c r="H19" s="41"/>
    </row>
    <row r="20" spans="1:8">
      <c r="A20" s="6" t="s">
        <v>22</v>
      </c>
      <c r="B20" t="s">
        <v>23</v>
      </c>
      <c r="D20" s="41"/>
      <c r="E20" s="41"/>
      <c r="F20" s="41"/>
      <c r="G20" s="41"/>
      <c r="H20" s="41"/>
    </row>
  </sheetData>
  <mergeCells count="6">
    <mergeCell ref="D17:H20"/>
    <mergeCell ref="A1:H1"/>
    <mergeCell ref="A2:H2"/>
    <mergeCell ref="A10:H10"/>
    <mergeCell ref="A11:H14"/>
    <mergeCell ref="A16:H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
  <sheetViews>
    <sheetView showGridLines="0" workbookViewId="0">
      <selection sqref="A1:H1"/>
    </sheetView>
  </sheetViews>
  <sheetFormatPr defaultRowHeight="13.8"/>
  <cols>
    <col min="1" max="1" width="24" customWidth="1"/>
    <col min="2" max="4" width="14" customWidth="1"/>
    <col min="5" max="5" width="3" customWidth="1"/>
    <col min="6" max="6" width="32" customWidth="1"/>
    <col min="7" max="7" width="16" customWidth="1"/>
    <col min="8" max="8" width="42" customWidth="1"/>
  </cols>
  <sheetData>
    <row r="1" spans="1:8" ht="28.05" customHeight="1">
      <c r="A1" s="37" t="s">
        <v>24</v>
      </c>
      <c r="B1" s="37" t="s">
        <v>24</v>
      </c>
      <c r="C1" s="37" t="s">
        <v>24</v>
      </c>
      <c r="D1" s="37" t="s">
        <v>24</v>
      </c>
      <c r="E1" s="37" t="s">
        <v>24</v>
      </c>
      <c r="F1" s="37" t="s">
        <v>24</v>
      </c>
      <c r="G1" s="37" t="s">
        <v>24</v>
      </c>
      <c r="H1" s="37" t="s">
        <v>24</v>
      </c>
    </row>
    <row r="3" spans="1:8" ht="19.95" customHeight="1">
      <c r="A3" s="42" t="s">
        <v>25</v>
      </c>
      <c r="B3" s="42" t="s">
        <v>25</v>
      </c>
      <c r="C3" s="42" t="s">
        <v>25</v>
      </c>
      <c r="D3" s="42" t="s">
        <v>25</v>
      </c>
      <c r="F3" s="42" t="s">
        <v>26</v>
      </c>
      <c r="G3" s="42" t="s">
        <v>26</v>
      </c>
      <c r="H3" s="42" t="s">
        <v>26</v>
      </c>
    </row>
    <row r="4" spans="1:8">
      <c r="A4" s="7" t="s">
        <v>27</v>
      </c>
      <c r="B4" s="7" t="s">
        <v>28</v>
      </c>
      <c r="C4" s="7" t="s">
        <v>29</v>
      </c>
      <c r="D4" s="7" t="s">
        <v>30</v>
      </c>
      <c r="F4" s="7" t="s">
        <v>31</v>
      </c>
      <c r="G4" s="7" t="s">
        <v>32</v>
      </c>
      <c r="H4" s="7" t="s">
        <v>33</v>
      </c>
    </row>
    <row r="5" spans="1:8" ht="14.4">
      <c r="A5" t="s">
        <v>34</v>
      </c>
      <c r="B5" s="9">
        <v>0.04</v>
      </c>
      <c r="C5" s="9">
        <v>7.0000000000000007E-2</v>
      </c>
      <c r="D5" s="9">
        <v>0.09</v>
      </c>
      <c r="F5" t="s">
        <v>35</v>
      </c>
      <c r="G5" s="10" t="s">
        <v>29</v>
      </c>
      <c r="H5" s="15" t="s">
        <v>36</v>
      </c>
    </row>
    <row r="6" spans="1:8" ht="14.4">
      <c r="A6" t="s">
        <v>37</v>
      </c>
      <c r="B6" s="9">
        <v>0.115</v>
      </c>
      <c r="C6" s="9">
        <v>0.125</v>
      </c>
      <c r="D6" s="9">
        <v>0.13</v>
      </c>
      <c r="F6" t="s">
        <v>38</v>
      </c>
      <c r="G6" s="9">
        <v>0.11</v>
      </c>
      <c r="H6" s="15" t="s">
        <v>39</v>
      </c>
    </row>
    <row r="7" spans="1:8" ht="14.4">
      <c r="A7" t="s">
        <v>40</v>
      </c>
      <c r="B7" s="9">
        <v>0.25</v>
      </c>
      <c r="C7" s="9">
        <v>0.25</v>
      </c>
      <c r="D7" s="9">
        <v>0.25</v>
      </c>
      <c r="F7" t="s">
        <v>41</v>
      </c>
      <c r="G7" s="9">
        <v>0.04</v>
      </c>
      <c r="H7" s="15" t="s">
        <v>39</v>
      </c>
    </row>
    <row r="8" spans="1:8" ht="14.4">
      <c r="A8" t="s">
        <v>42</v>
      </c>
      <c r="B8" s="9">
        <v>2.3E-2</v>
      </c>
      <c r="C8" s="9">
        <v>2.3E-2</v>
      </c>
      <c r="D8" s="9">
        <v>2.3E-2</v>
      </c>
      <c r="F8" t="s">
        <v>43</v>
      </c>
      <c r="G8" s="11">
        <v>459.1</v>
      </c>
      <c r="H8" s="15" t="s">
        <v>44</v>
      </c>
    </row>
    <row r="9" spans="1:8" ht="14.4">
      <c r="A9" t="s">
        <v>45</v>
      </c>
      <c r="B9" s="9">
        <v>3.5000000000000003E-2</v>
      </c>
      <c r="C9" s="9">
        <v>3.5000000000000003E-2</v>
      </c>
      <c r="D9" s="9">
        <v>3.5000000000000003E-2</v>
      </c>
      <c r="F9" t="s">
        <v>46</v>
      </c>
      <c r="G9" s="12">
        <v>368</v>
      </c>
      <c r="H9" s="15" t="s">
        <v>47</v>
      </c>
    </row>
    <row r="10" spans="1:8" ht="28.8">
      <c r="A10" t="s">
        <v>48</v>
      </c>
      <c r="B10" s="9">
        <v>5.5E-2</v>
      </c>
      <c r="C10" s="9">
        <v>5.5E-2</v>
      </c>
      <c r="D10" s="9">
        <v>5.5E-2</v>
      </c>
      <c r="F10" t="s">
        <v>49</v>
      </c>
      <c r="G10" s="14">
        <v>169073</v>
      </c>
      <c r="H10" s="15" t="s">
        <v>50</v>
      </c>
    </row>
    <row r="11" spans="1:8" ht="14.4">
      <c r="F11" t="s">
        <v>51</v>
      </c>
      <c r="G11" s="13">
        <f>'Historical Financials'!C4</f>
        <v>83855</v>
      </c>
      <c r="H11" s="15" t="s">
        <v>52</v>
      </c>
    </row>
    <row r="12" spans="1:8" ht="14.4">
      <c r="F12" t="s">
        <v>53</v>
      </c>
      <c r="G12" s="14">
        <v>10314</v>
      </c>
      <c r="H12" s="15" t="s">
        <v>54</v>
      </c>
    </row>
    <row r="13" spans="1:8" ht="19.95" customHeight="1">
      <c r="A13" s="42" t="s">
        <v>55</v>
      </c>
      <c r="B13" s="42" t="s">
        <v>55</v>
      </c>
      <c r="C13" s="42" t="s">
        <v>55</v>
      </c>
      <c r="D13" s="42" t="s">
        <v>55</v>
      </c>
      <c r="F13" t="s">
        <v>56</v>
      </c>
      <c r="G13" s="14">
        <v>4817</v>
      </c>
      <c r="H13" s="15" t="s">
        <v>57</v>
      </c>
    </row>
    <row r="14" spans="1:8">
      <c r="A14" s="7" t="s">
        <v>58</v>
      </c>
      <c r="B14" s="7" t="s">
        <v>32</v>
      </c>
    </row>
    <row r="15" spans="1:8">
      <c r="A15" t="s">
        <v>34</v>
      </c>
      <c r="B15" s="16">
        <f>IF($G$5="Downside",$B$5,IF($G$5="Base",$C$5,$D$5))</f>
        <v>7.0000000000000007E-2</v>
      </c>
    </row>
    <row r="16" spans="1:8">
      <c r="A16" t="s">
        <v>37</v>
      </c>
      <c r="B16" s="16">
        <f>IF($G$5="Downside",$B$6,IF($G$5="Base",$C$6,$D$6))</f>
        <v>0.125</v>
      </c>
    </row>
    <row r="17" spans="1:2">
      <c r="A17" t="s">
        <v>40</v>
      </c>
      <c r="B17" s="16">
        <f>IF($G$5="Downside",$B$7,IF($G$5="Base",$C$7,$D$7))</f>
        <v>0.25</v>
      </c>
    </row>
    <row r="18" spans="1:2">
      <c r="A18" t="s">
        <v>42</v>
      </c>
      <c r="B18" s="16">
        <f>IF($G$5="Downside",$B$8,IF($G$5="Base",$C$8,$D$8))</f>
        <v>2.3E-2</v>
      </c>
    </row>
    <row r="19" spans="1:2">
      <c r="A19" t="s">
        <v>45</v>
      </c>
      <c r="B19" s="16">
        <f>IF($G$5="Downside",$B$9,IF($G$5="Base",$C$9,$D$9))</f>
        <v>3.5000000000000003E-2</v>
      </c>
    </row>
    <row r="20" spans="1:2">
      <c r="A20" t="s">
        <v>48</v>
      </c>
      <c r="B20" s="16">
        <f>IF($G$5="Downside",$B$10,IF($G$5="Base",$C$10,$D$10))</f>
        <v>5.5E-2</v>
      </c>
    </row>
  </sheetData>
  <mergeCells count="4">
    <mergeCell ref="A1:H1"/>
    <mergeCell ref="A3:D3"/>
    <mergeCell ref="F3:H3"/>
    <mergeCell ref="A13:D13"/>
  </mergeCells>
  <dataValidations count="1">
    <dataValidation type="list" sqref="G5" xr:uid="{00000000-0002-0000-0100-000000000000}">
      <formula1>"Downside,Base,Upside"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4"/>
  <sheetViews>
    <sheetView showGridLines="0" workbookViewId="0">
      <selection sqref="A1:F1"/>
    </sheetView>
  </sheetViews>
  <sheetFormatPr defaultRowHeight="13.8"/>
  <cols>
    <col min="1" max="1" width="38" customWidth="1"/>
    <col min="2" max="3" width="14" customWidth="1"/>
    <col min="4" max="4" width="28" customWidth="1"/>
    <col min="5" max="5" width="16" customWidth="1"/>
    <col min="6" max="6" width="34" customWidth="1"/>
  </cols>
  <sheetData>
    <row r="1" spans="1:6" ht="28.05" customHeight="1">
      <c r="A1" s="37" t="s">
        <v>59</v>
      </c>
      <c r="B1" s="37" t="s">
        <v>59</v>
      </c>
      <c r="C1" s="37" t="s">
        <v>59</v>
      </c>
      <c r="D1" s="37" t="s">
        <v>59</v>
      </c>
      <c r="E1" s="37" t="s">
        <v>59</v>
      </c>
      <c r="F1" s="37" t="s">
        <v>59</v>
      </c>
    </row>
    <row r="3" spans="1:6">
      <c r="A3" s="7" t="s">
        <v>60</v>
      </c>
      <c r="B3" s="7" t="s">
        <v>61</v>
      </c>
      <c r="C3" s="7" t="s">
        <v>62</v>
      </c>
      <c r="D3" s="7" t="s">
        <v>63</v>
      </c>
      <c r="E3" s="7" t="s">
        <v>64</v>
      </c>
      <c r="F3" s="7" t="s">
        <v>65</v>
      </c>
    </row>
    <row r="4" spans="1:6">
      <c r="A4" s="17" t="s">
        <v>66</v>
      </c>
      <c r="B4" s="19">
        <v>58217</v>
      </c>
      <c r="C4" s="19">
        <v>83855</v>
      </c>
      <c r="D4" s="18" t="s">
        <v>67</v>
      </c>
      <c r="E4" s="18" t="s">
        <v>29</v>
      </c>
      <c r="F4" s="18" t="s">
        <v>68</v>
      </c>
    </row>
    <row r="5" spans="1:6">
      <c r="A5" s="17" t="s">
        <v>69</v>
      </c>
      <c r="B5" s="19">
        <v>877</v>
      </c>
      <c r="C5" s="19">
        <v>1124</v>
      </c>
      <c r="D5" s="18" t="s">
        <v>67</v>
      </c>
      <c r="E5" s="18" t="s">
        <v>70</v>
      </c>
      <c r="F5" s="18"/>
    </row>
    <row r="6" spans="1:6">
      <c r="A6" s="17" t="s">
        <v>71</v>
      </c>
      <c r="B6" s="19">
        <v>59094</v>
      </c>
      <c r="C6" s="19">
        <v>84979</v>
      </c>
      <c r="D6" s="18" t="s">
        <v>67</v>
      </c>
      <c r="E6" s="18" t="s">
        <v>70</v>
      </c>
      <c r="F6" s="18"/>
    </row>
    <row r="7" spans="1:6">
      <c r="A7" s="17" t="s">
        <v>72</v>
      </c>
      <c r="B7" s="19">
        <v>31167</v>
      </c>
      <c r="C7" s="19">
        <v>48840</v>
      </c>
      <c r="D7" s="18" t="s">
        <v>67</v>
      </c>
      <c r="E7" s="18" t="s">
        <v>73</v>
      </c>
      <c r="F7" s="18"/>
    </row>
    <row r="8" spans="1:6">
      <c r="A8" s="17" t="s">
        <v>74</v>
      </c>
      <c r="B8" s="19">
        <v>4223</v>
      </c>
      <c r="C8" s="19">
        <v>5804</v>
      </c>
      <c r="D8" s="18" t="s">
        <v>67</v>
      </c>
      <c r="E8" s="18" t="s">
        <v>73</v>
      </c>
      <c r="F8" s="18"/>
    </row>
    <row r="9" spans="1:6">
      <c r="A9" s="17" t="s">
        <v>75</v>
      </c>
      <c r="B9" s="19">
        <v>1079</v>
      </c>
      <c r="C9" s="19">
        <v>874</v>
      </c>
      <c r="D9" s="18" t="s">
        <v>67</v>
      </c>
      <c r="E9" s="18" t="s">
        <v>76</v>
      </c>
      <c r="F9" s="18"/>
    </row>
    <row r="10" spans="1:6">
      <c r="A10" s="17" t="s">
        <v>77</v>
      </c>
      <c r="B10" s="19">
        <v>1690</v>
      </c>
      <c r="C10" s="19">
        <v>1945</v>
      </c>
      <c r="D10" s="18" t="s">
        <v>67</v>
      </c>
      <c r="E10" s="18" t="s">
        <v>78</v>
      </c>
      <c r="F10" s="18"/>
    </row>
    <row r="11" spans="1:6">
      <c r="A11" s="17" t="s">
        <v>79</v>
      </c>
      <c r="B11" s="19">
        <v>814</v>
      </c>
      <c r="C11" s="19">
        <v>789</v>
      </c>
      <c r="D11" s="18" t="s">
        <v>67</v>
      </c>
      <c r="E11" s="18" t="s">
        <v>70</v>
      </c>
      <c r="F11" s="18"/>
    </row>
    <row r="12" spans="1:6">
      <c r="A12" s="17" t="s">
        <v>80</v>
      </c>
      <c r="B12" s="19">
        <v>8672</v>
      </c>
      <c r="C12" s="19">
        <v>11689</v>
      </c>
      <c r="D12" s="18" t="s">
        <v>67</v>
      </c>
      <c r="E12" s="18" t="s">
        <v>73</v>
      </c>
      <c r="F12" s="18"/>
    </row>
    <row r="13" spans="1:6">
      <c r="A13" s="17" t="s">
        <v>81</v>
      </c>
      <c r="B13" s="19">
        <v>0</v>
      </c>
      <c r="C13" s="19">
        <v>2418</v>
      </c>
      <c r="D13" s="18" t="s">
        <v>67</v>
      </c>
      <c r="E13" s="18" t="s">
        <v>82</v>
      </c>
      <c r="F13" s="18" t="s">
        <v>83</v>
      </c>
    </row>
    <row r="14" spans="1:6">
      <c r="A14" s="17" t="s">
        <v>84</v>
      </c>
      <c r="B14" s="19">
        <v>4405</v>
      </c>
      <c r="C14" s="19">
        <v>6091</v>
      </c>
      <c r="D14" s="18" t="s">
        <v>67</v>
      </c>
      <c r="E14" s="18" t="s">
        <v>70</v>
      </c>
      <c r="F14" s="18"/>
    </row>
    <row r="15" spans="1:6">
      <c r="A15" s="17" t="s">
        <v>85</v>
      </c>
      <c r="B15" s="19">
        <v>317</v>
      </c>
      <c r="C15" s="19">
        <v>1428</v>
      </c>
      <c r="D15" s="18" t="s">
        <v>67</v>
      </c>
      <c r="E15" s="18" t="s">
        <v>82</v>
      </c>
      <c r="F15" s="18"/>
    </row>
    <row r="16" spans="1:6">
      <c r="A16" s="17" t="s">
        <v>86</v>
      </c>
      <c r="B16" s="19">
        <v>4088</v>
      </c>
      <c r="C16" s="19">
        <v>4663</v>
      </c>
      <c r="D16" s="18" t="s">
        <v>67</v>
      </c>
      <c r="E16" s="18" t="s">
        <v>70</v>
      </c>
      <c r="F16" s="18"/>
    </row>
    <row r="17" spans="1:6">
      <c r="A17" s="17" t="s">
        <v>87</v>
      </c>
      <c r="B17" s="19">
        <v>893</v>
      </c>
      <c r="C17" s="19">
        <v>1633</v>
      </c>
      <c r="D17" s="18" t="s">
        <v>67</v>
      </c>
      <c r="E17" s="18" t="s">
        <v>88</v>
      </c>
      <c r="F17" s="18"/>
    </row>
    <row r="18" spans="1:6">
      <c r="A18" s="17" t="s">
        <v>89</v>
      </c>
      <c r="B18" s="19">
        <v>3195</v>
      </c>
      <c r="C18" s="19">
        <v>3030</v>
      </c>
      <c r="D18" s="18" t="s">
        <v>67</v>
      </c>
      <c r="E18" s="18" t="s">
        <v>70</v>
      </c>
      <c r="F18" s="18"/>
    </row>
    <row r="19" spans="1:6">
      <c r="A19" s="17" t="s">
        <v>90</v>
      </c>
      <c r="B19" s="19">
        <v>6595</v>
      </c>
      <c r="C19" s="19">
        <v>10314</v>
      </c>
      <c r="D19" s="18" t="s">
        <v>91</v>
      </c>
      <c r="E19" s="18" t="s">
        <v>78</v>
      </c>
      <c r="F19" s="18" t="s">
        <v>92</v>
      </c>
    </row>
    <row r="20" spans="1:6">
      <c r="A20" s="17" t="s">
        <v>93</v>
      </c>
      <c r="B20" s="19">
        <v>5030</v>
      </c>
      <c r="C20" s="19">
        <v>8538</v>
      </c>
      <c r="D20" s="18" t="s">
        <v>91</v>
      </c>
      <c r="E20" s="18" t="s">
        <v>78</v>
      </c>
      <c r="F20" s="18" t="s">
        <v>92</v>
      </c>
    </row>
    <row r="21" spans="1:6">
      <c r="A21" s="17" t="s">
        <v>94</v>
      </c>
      <c r="B21" s="19">
        <v>8547</v>
      </c>
      <c r="C21" s="19">
        <v>14981</v>
      </c>
      <c r="D21" s="18" t="s">
        <v>95</v>
      </c>
      <c r="E21" s="18" t="s">
        <v>96</v>
      </c>
      <c r="F21" s="18" t="s">
        <v>97</v>
      </c>
    </row>
    <row r="22" spans="1:6">
      <c r="A22" s="17" t="s">
        <v>98</v>
      </c>
      <c r="B22" s="19">
        <v>5880</v>
      </c>
      <c r="C22" s="19">
        <v>12438</v>
      </c>
      <c r="D22" s="18" t="s">
        <v>99</v>
      </c>
      <c r="E22" s="18" t="s">
        <v>96</v>
      </c>
      <c r="F22" s="18" t="s">
        <v>100</v>
      </c>
    </row>
    <row r="23" spans="1:6">
      <c r="A23" s="17" t="s">
        <v>101</v>
      </c>
      <c r="B23" s="19">
        <v>9156</v>
      </c>
      <c r="C23" s="19">
        <v>4817</v>
      </c>
      <c r="D23" s="18" t="s">
        <v>102</v>
      </c>
      <c r="E23" s="18" t="s">
        <v>76</v>
      </c>
      <c r="F23" s="18"/>
    </row>
    <row r="24" spans="1:6">
      <c r="A24" s="17" t="s">
        <v>103</v>
      </c>
      <c r="B24" s="19">
        <v>1033</v>
      </c>
      <c r="C24" s="19">
        <v>6899</v>
      </c>
      <c r="D24" s="18" t="s">
        <v>104</v>
      </c>
      <c r="E24" s="18" t="s">
        <v>76</v>
      </c>
      <c r="F24" s="18"/>
    </row>
    <row r="25" spans="1:6">
      <c r="A25" s="17" t="s">
        <v>105</v>
      </c>
      <c r="B25" s="19">
        <v>3036</v>
      </c>
      <c r="C25" s="19">
        <v>5274</v>
      </c>
      <c r="D25" s="18" t="s">
        <v>104</v>
      </c>
      <c r="E25" s="18" t="s">
        <v>76</v>
      </c>
      <c r="F25" s="18"/>
    </row>
    <row r="26" spans="1:6">
      <c r="A26" s="17" t="s">
        <v>106</v>
      </c>
      <c r="B26" s="19">
        <v>1195</v>
      </c>
      <c r="C26" s="19">
        <v>3593</v>
      </c>
      <c r="D26" s="18" t="s">
        <v>107</v>
      </c>
      <c r="E26" s="18" t="s">
        <v>76</v>
      </c>
      <c r="F26" s="18"/>
    </row>
    <row r="27" spans="1:6">
      <c r="A27" s="17" t="s">
        <v>108</v>
      </c>
      <c r="B27" s="19">
        <v>5264</v>
      </c>
      <c r="C27" s="19">
        <v>13048</v>
      </c>
      <c r="D27" s="18" t="s">
        <v>107</v>
      </c>
      <c r="E27" s="18" t="s">
        <v>76</v>
      </c>
      <c r="F27" s="18"/>
    </row>
    <row r="28" spans="1:6">
      <c r="A28" s="17" t="s">
        <v>109</v>
      </c>
      <c r="B28" s="19">
        <v>10533</v>
      </c>
      <c r="C28" s="19">
        <v>12734</v>
      </c>
      <c r="D28" s="18" t="s">
        <v>104</v>
      </c>
      <c r="E28" s="18" t="s">
        <v>70</v>
      </c>
      <c r="F28" s="18"/>
    </row>
    <row r="29" spans="1:6">
      <c r="A29" s="17" t="s">
        <v>110</v>
      </c>
      <c r="B29" s="19">
        <v>46851</v>
      </c>
      <c r="C29" s="19">
        <v>52309</v>
      </c>
      <c r="D29" s="18" t="s">
        <v>104</v>
      </c>
      <c r="E29" s="18" t="s">
        <v>70</v>
      </c>
      <c r="F29" s="18"/>
    </row>
    <row r="30" spans="1:6">
      <c r="A30" s="17" t="s">
        <v>111</v>
      </c>
      <c r="B30" s="19">
        <v>4625</v>
      </c>
      <c r="C30" s="19">
        <v>5448</v>
      </c>
      <c r="D30" s="18" t="s">
        <v>104</v>
      </c>
      <c r="E30" s="18" t="s">
        <v>112</v>
      </c>
      <c r="F30" s="18"/>
    </row>
    <row r="31" spans="1:6">
      <c r="A31" s="17" t="s">
        <v>113</v>
      </c>
      <c r="B31" s="19">
        <v>3064</v>
      </c>
      <c r="C31" s="19">
        <v>2721</v>
      </c>
      <c r="D31" s="18" t="s">
        <v>104</v>
      </c>
      <c r="E31" s="18" t="s">
        <v>112</v>
      </c>
      <c r="F31" s="18"/>
    </row>
    <row r="32" spans="1:6">
      <c r="A32" s="17" t="s">
        <v>114</v>
      </c>
      <c r="B32" s="19">
        <v>14376</v>
      </c>
      <c r="C32" s="19">
        <v>15704</v>
      </c>
      <c r="D32" s="18" t="s">
        <v>67</v>
      </c>
      <c r="E32" s="18" t="s">
        <v>112</v>
      </c>
      <c r="F32" s="18"/>
    </row>
    <row r="34" spans="1:6" ht="14.4">
      <c r="A34" s="43" t="s">
        <v>115</v>
      </c>
      <c r="B34" s="43"/>
      <c r="C34" s="43"/>
      <c r="D34" s="43"/>
      <c r="E34" s="43"/>
      <c r="F34" s="43"/>
    </row>
  </sheetData>
  <mergeCells count="2">
    <mergeCell ref="A1:F1"/>
    <mergeCell ref="A34:F3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7"/>
  <sheetViews>
    <sheetView showGridLines="0" workbookViewId="0">
      <selection sqref="A1:H1"/>
    </sheetView>
  </sheetViews>
  <sheetFormatPr defaultRowHeight="13.8"/>
  <cols>
    <col min="1" max="1" width="27" customWidth="1"/>
    <col min="2" max="3" width="16" customWidth="1"/>
    <col min="4" max="7" width="14" customWidth="1"/>
    <col min="8" max="8" width="44" customWidth="1"/>
  </cols>
  <sheetData>
    <row r="1" spans="1:8" ht="28.05" customHeight="1">
      <c r="A1" s="37" t="s">
        <v>116</v>
      </c>
      <c r="B1" s="37" t="s">
        <v>116</v>
      </c>
      <c r="C1" s="37" t="s">
        <v>116</v>
      </c>
      <c r="D1" s="37" t="s">
        <v>116</v>
      </c>
      <c r="E1" s="37" t="s">
        <v>116</v>
      </c>
      <c r="F1" s="37" t="s">
        <v>116</v>
      </c>
      <c r="G1" s="37" t="s">
        <v>116</v>
      </c>
      <c r="H1" s="37" t="s">
        <v>116</v>
      </c>
    </row>
    <row r="3" spans="1:8">
      <c r="A3" s="7" t="s">
        <v>60</v>
      </c>
      <c r="B3" s="7" t="s">
        <v>62</v>
      </c>
      <c r="C3" s="7" t="s">
        <v>117</v>
      </c>
      <c r="D3" s="7" t="s">
        <v>118</v>
      </c>
      <c r="E3" s="7" t="s">
        <v>119</v>
      </c>
      <c r="F3" s="7" t="s">
        <v>120</v>
      </c>
      <c r="G3" s="7" t="s">
        <v>121</v>
      </c>
      <c r="H3" s="7" t="s">
        <v>122</v>
      </c>
    </row>
    <row r="4" spans="1:8">
      <c r="A4" t="s">
        <v>123</v>
      </c>
      <c r="B4" s="13">
        <f>'Historical Financials'!C4</f>
        <v>83855</v>
      </c>
      <c r="C4" s="20">
        <f>B4*(1+Assumptions!$B$15)</f>
        <v>89724.85</v>
      </c>
      <c r="D4" s="20">
        <f>C4*(1+Assumptions!$B$15)</f>
        <v>96005.589500000016</v>
      </c>
      <c r="E4" s="20">
        <f>D4*(1+Assumptions!$B$15)</f>
        <v>102725.98076500003</v>
      </c>
      <c r="F4" s="20">
        <f>E4*(1+Assumptions!$B$15)</f>
        <v>109916.79941855004</v>
      </c>
      <c r="G4" s="20">
        <f>F4*(1+Assumptions!$B$15)</f>
        <v>117610.97537784855</v>
      </c>
      <c r="H4" t="s">
        <v>124</v>
      </c>
    </row>
    <row r="5" spans="1:8">
      <c r="A5" t="s">
        <v>125</v>
      </c>
      <c r="B5" s="16">
        <f>0</f>
        <v>0</v>
      </c>
      <c r="C5" s="16">
        <f>Assumptions!$B$15</f>
        <v>7.0000000000000007E-2</v>
      </c>
      <c r="D5" s="16">
        <f>Assumptions!$B$15</f>
        <v>7.0000000000000007E-2</v>
      </c>
      <c r="E5" s="16">
        <f>Assumptions!$B$15</f>
        <v>7.0000000000000007E-2</v>
      </c>
      <c r="F5" s="16">
        <f>Assumptions!$B$15</f>
        <v>7.0000000000000007E-2</v>
      </c>
      <c r="G5" s="16">
        <f>Assumptions!$B$15</f>
        <v>7.0000000000000007E-2</v>
      </c>
      <c r="H5" t="s">
        <v>27</v>
      </c>
    </row>
    <row r="6" spans="1:8">
      <c r="A6" t="s">
        <v>126</v>
      </c>
      <c r="B6" s="13">
        <f>'Historical Financials'!C19</f>
        <v>10314</v>
      </c>
      <c r="C6" s="20">
        <f>C4*Assumptions!$B$16</f>
        <v>11215.606250000001</v>
      </c>
      <c r="D6" s="20">
        <f>D4*Assumptions!$B$16</f>
        <v>12000.698687500002</v>
      </c>
      <c r="E6" s="20">
        <f>E4*Assumptions!$B$16</f>
        <v>12840.747595625004</v>
      </c>
      <c r="F6" s="20">
        <f>F4*Assumptions!$B$16</f>
        <v>13739.599927318755</v>
      </c>
      <c r="G6" s="20">
        <f>G4*Assumptions!$B$16</f>
        <v>14701.371922231068</v>
      </c>
      <c r="H6" t="s">
        <v>127</v>
      </c>
    </row>
    <row r="7" spans="1:8">
      <c r="A7" t="s">
        <v>37</v>
      </c>
      <c r="B7" s="16">
        <f>B6/B4</f>
        <v>0.12299803231769126</v>
      </c>
      <c r="C7" s="16">
        <f>Assumptions!$B$16</f>
        <v>0.125</v>
      </c>
      <c r="D7" s="16">
        <f>Assumptions!$B$16</f>
        <v>0.125</v>
      </c>
      <c r="E7" s="16">
        <f>Assumptions!$B$16</f>
        <v>0.125</v>
      </c>
      <c r="F7" s="16">
        <f>Assumptions!$B$16</f>
        <v>0.125</v>
      </c>
      <c r="G7" s="16">
        <f>Assumptions!$B$16</f>
        <v>0.125</v>
      </c>
      <c r="H7" t="s">
        <v>27</v>
      </c>
    </row>
    <row r="8" spans="1:8">
      <c r="A8" t="s">
        <v>128</v>
      </c>
      <c r="B8" s="13">
        <f>'Historical Financials'!C10</f>
        <v>1945</v>
      </c>
      <c r="C8" s="20">
        <f>C4*Assumptions!$B$18</f>
        <v>2063.67155</v>
      </c>
      <c r="D8" s="20">
        <f>D4*Assumptions!$B$18</f>
        <v>2208.1285585000005</v>
      </c>
      <c r="E8" s="20">
        <f>E4*Assumptions!$B$18</f>
        <v>2362.6975575950005</v>
      </c>
      <c r="F8" s="20">
        <f>F4*Assumptions!$B$18</f>
        <v>2528.0863866266509</v>
      </c>
      <c r="G8" s="20">
        <f>G4*Assumptions!$B$18</f>
        <v>2705.0524336905164</v>
      </c>
      <c r="H8" t="s">
        <v>129</v>
      </c>
    </row>
    <row r="9" spans="1:8">
      <c r="A9" t="s">
        <v>130</v>
      </c>
      <c r="B9" s="20">
        <f t="shared" ref="B9:G9" si="0">B6-B8</f>
        <v>8369</v>
      </c>
      <c r="C9" s="20">
        <f t="shared" si="0"/>
        <v>9151.9347000000016</v>
      </c>
      <c r="D9" s="20">
        <f t="shared" si="0"/>
        <v>9792.5701290000015</v>
      </c>
      <c r="E9" s="20">
        <f t="shared" si="0"/>
        <v>10478.050038030004</v>
      </c>
      <c r="F9" s="20">
        <f t="shared" si="0"/>
        <v>11211.513540692104</v>
      </c>
      <c r="G9" s="20">
        <f t="shared" si="0"/>
        <v>11996.319488540552</v>
      </c>
      <c r="H9" t="s">
        <v>131</v>
      </c>
    </row>
    <row r="10" spans="1:8">
      <c r="A10" t="s">
        <v>132</v>
      </c>
      <c r="B10" s="20">
        <f>B9*Assumptions!$B$17</f>
        <v>2092.25</v>
      </c>
      <c r="C10" s="20">
        <f>C9*Assumptions!$B$17</f>
        <v>2287.9836750000004</v>
      </c>
      <c r="D10" s="20">
        <f>D9*Assumptions!$B$17</f>
        <v>2448.1425322500004</v>
      </c>
      <c r="E10" s="20">
        <f>E9*Assumptions!$B$17</f>
        <v>2619.5125095075009</v>
      </c>
      <c r="F10" s="20">
        <f>F9*Assumptions!$B$17</f>
        <v>2802.8783851730259</v>
      </c>
      <c r="G10" s="20">
        <f>G9*Assumptions!$B$17</f>
        <v>2999.079872135138</v>
      </c>
      <c r="H10" t="s">
        <v>133</v>
      </c>
    </row>
    <row r="11" spans="1:8">
      <c r="A11" t="s">
        <v>134</v>
      </c>
      <c r="B11" s="20">
        <f t="shared" ref="B11:G11" si="1">B9-B10</f>
        <v>6276.75</v>
      </c>
      <c r="C11" s="20">
        <f t="shared" si="1"/>
        <v>6863.9510250000012</v>
      </c>
      <c r="D11" s="20">
        <f t="shared" si="1"/>
        <v>7344.4275967500016</v>
      </c>
      <c r="E11" s="20">
        <f t="shared" si="1"/>
        <v>7858.5375285225027</v>
      </c>
      <c r="F11" s="20">
        <f t="shared" si="1"/>
        <v>8408.6351555190777</v>
      </c>
      <c r="G11" s="20">
        <f t="shared" si="1"/>
        <v>8997.2396164054135</v>
      </c>
      <c r="H11" t="s">
        <v>135</v>
      </c>
    </row>
    <row r="12" spans="1:8">
      <c r="A12" t="s">
        <v>136</v>
      </c>
      <c r="B12" s="20">
        <f>B4*Assumptions!$B$19</f>
        <v>2934.9250000000002</v>
      </c>
      <c r="C12" s="20">
        <f>C4*Assumptions!$B$19</f>
        <v>3140.3697500000003</v>
      </c>
      <c r="D12" s="20">
        <f>D4*Assumptions!$B$19</f>
        <v>3360.195632500001</v>
      </c>
      <c r="E12" s="20">
        <f>E4*Assumptions!$B$19</f>
        <v>3595.4093267750013</v>
      </c>
      <c r="F12" s="20">
        <f>F4*Assumptions!$B$19</f>
        <v>3847.0879796492518</v>
      </c>
      <c r="G12" s="20">
        <f>G4*Assumptions!$B$19</f>
        <v>4116.3841382246992</v>
      </c>
      <c r="H12" t="s">
        <v>137</v>
      </c>
    </row>
    <row r="13" spans="1:8">
      <c r="A13" t="s">
        <v>112</v>
      </c>
      <c r="B13" s="20">
        <f>B4*Assumptions!$B$20</f>
        <v>4612.0249999999996</v>
      </c>
      <c r="C13" s="20">
        <f>C4*Assumptions!$B$20</f>
        <v>4934.8667500000001</v>
      </c>
      <c r="D13" s="20">
        <f>D4*Assumptions!$B$20</f>
        <v>5280.3074225000009</v>
      </c>
      <c r="E13" s="20">
        <f>E4*Assumptions!$B$20</f>
        <v>5649.9289420750019</v>
      </c>
      <c r="F13" s="20">
        <f>F4*Assumptions!$B$20</f>
        <v>6045.4239680202527</v>
      </c>
      <c r="G13" s="20">
        <f>G4*Assumptions!$B$20</f>
        <v>6468.6036457816699</v>
      </c>
      <c r="H13" t="s">
        <v>138</v>
      </c>
    </row>
    <row r="14" spans="1:8">
      <c r="A14" t="s">
        <v>139</v>
      </c>
      <c r="B14" s="20">
        <f>0</f>
        <v>0</v>
      </c>
      <c r="C14" s="20">
        <f>C13-B13</f>
        <v>322.8417500000005</v>
      </c>
      <c r="D14" s="20">
        <f>D13-C13</f>
        <v>345.4406725000008</v>
      </c>
      <c r="E14" s="20">
        <f>E13-D13</f>
        <v>369.621519575001</v>
      </c>
      <c r="F14" s="20">
        <f>F13-E13</f>
        <v>395.49502594525075</v>
      </c>
      <c r="G14" s="20">
        <f>G13-F13</f>
        <v>423.17967776141722</v>
      </c>
      <c r="H14" t="s">
        <v>140</v>
      </c>
    </row>
    <row r="15" spans="1:8">
      <c r="A15" t="s">
        <v>141</v>
      </c>
      <c r="B15" s="20">
        <f t="shared" ref="B15:G15" si="2">B11+B8-B12-B14</f>
        <v>5286.8249999999998</v>
      </c>
      <c r="C15" s="20">
        <f t="shared" si="2"/>
        <v>5464.4110750000009</v>
      </c>
      <c r="D15" s="20">
        <f t="shared" si="2"/>
        <v>5846.9198502500003</v>
      </c>
      <c r="E15" s="20">
        <f t="shared" si="2"/>
        <v>6256.2042397675013</v>
      </c>
      <c r="F15" s="20">
        <f t="shared" si="2"/>
        <v>6694.1385365512269</v>
      </c>
      <c r="G15" s="20">
        <f t="shared" si="2"/>
        <v>7162.7282341098135</v>
      </c>
      <c r="H15" t="s">
        <v>142</v>
      </c>
    </row>
    <row r="16" spans="1:8">
      <c r="A16" t="s">
        <v>143</v>
      </c>
      <c r="B16" s="21">
        <f>1</f>
        <v>1</v>
      </c>
      <c r="C16" s="21">
        <f>1/(1+Assumptions!$G$6)^(COLUMN()-2)</f>
        <v>0.9009009009009008</v>
      </c>
      <c r="D16" s="21">
        <f>1/(1+Assumptions!$G$6)^(COLUMN()-2)</f>
        <v>0.8116224332440547</v>
      </c>
      <c r="E16" s="21">
        <f>1/(1+Assumptions!$G$6)^(COLUMN()-2)</f>
        <v>0.73119138130095018</v>
      </c>
      <c r="F16" s="21">
        <f>1/(1+Assumptions!$G$6)^(COLUMN()-2)</f>
        <v>0.65873097414500015</v>
      </c>
      <c r="G16" s="21">
        <f>1/(1+Assumptions!$G$6)^(COLUMN()-2)</f>
        <v>0.5934513280585586</v>
      </c>
      <c r="H16" t="s">
        <v>144</v>
      </c>
    </row>
    <row r="17" spans="1:8">
      <c r="A17" t="s">
        <v>145</v>
      </c>
      <c r="B17" s="20">
        <f t="shared" ref="B17:G17" si="3">B15*B16</f>
        <v>5286.8249999999998</v>
      </c>
      <c r="C17" s="20">
        <f t="shared" si="3"/>
        <v>4922.8928603603608</v>
      </c>
      <c r="D17" s="20">
        <f t="shared" si="3"/>
        <v>4745.491315842869</v>
      </c>
      <c r="E17" s="20">
        <f t="shared" si="3"/>
        <v>4574.4826197764605</v>
      </c>
      <c r="F17" s="20">
        <f t="shared" si="3"/>
        <v>4409.6363992439756</v>
      </c>
      <c r="G17" s="20">
        <f t="shared" si="3"/>
        <v>4250.7305830550031</v>
      </c>
      <c r="H17" t="s">
        <v>146</v>
      </c>
    </row>
    <row r="20" spans="1:8" ht="19.95" customHeight="1">
      <c r="A20" s="42" t="s">
        <v>147</v>
      </c>
      <c r="B20" s="42" t="s">
        <v>147</v>
      </c>
      <c r="C20" s="42" t="s">
        <v>147</v>
      </c>
      <c r="D20" s="42" t="s">
        <v>147</v>
      </c>
    </row>
    <row r="21" spans="1:8">
      <c r="A21" s="7" t="s">
        <v>60</v>
      </c>
      <c r="B21" s="7" t="s">
        <v>32</v>
      </c>
      <c r="C21" s="7" t="s">
        <v>148</v>
      </c>
      <c r="D21" s="7" t="s">
        <v>149</v>
      </c>
    </row>
    <row r="22" spans="1:8">
      <c r="A22" t="s">
        <v>150</v>
      </c>
      <c r="B22" s="20">
        <f>SUM(C17:G17)</f>
        <v>22903.233778278671</v>
      </c>
      <c r="C22" t="s">
        <v>151</v>
      </c>
      <c r="D22" t="s">
        <v>152</v>
      </c>
    </row>
    <row r="23" spans="1:8">
      <c r="A23" t="s">
        <v>153</v>
      </c>
      <c r="B23" s="20">
        <f>G15</f>
        <v>7162.7282341098135</v>
      </c>
      <c r="C23" t="s">
        <v>151</v>
      </c>
      <c r="D23" t="s">
        <v>154</v>
      </c>
    </row>
    <row r="24" spans="1:8">
      <c r="A24" t="s">
        <v>41</v>
      </c>
      <c r="B24" s="16">
        <f>Assumptions!$G$7</f>
        <v>0.04</v>
      </c>
      <c r="C24" t="s">
        <v>155</v>
      </c>
      <c r="D24" t="s">
        <v>27</v>
      </c>
    </row>
    <row r="25" spans="1:8">
      <c r="A25" t="s">
        <v>156</v>
      </c>
      <c r="B25" s="20">
        <f>B23*(1+B24)/(Assumptions!$G$6-B24)</f>
        <v>106417.67662106008</v>
      </c>
      <c r="C25" t="s">
        <v>151</v>
      </c>
      <c r="D25" t="s">
        <v>157</v>
      </c>
    </row>
    <row r="26" spans="1:8">
      <c r="A26" t="s">
        <v>158</v>
      </c>
      <c r="B26" s="20">
        <f>B25/(1+Assumptions!$G$6)^5</f>
        <v>63153.711519674325</v>
      </c>
      <c r="C26" t="s">
        <v>151</v>
      </c>
      <c r="D26" t="s">
        <v>159</v>
      </c>
    </row>
    <row r="27" spans="1:8">
      <c r="A27" t="s">
        <v>160</v>
      </c>
      <c r="B27" s="20">
        <f>SUM(B22,B26)</f>
        <v>86056.945297953003</v>
      </c>
      <c r="C27" t="s">
        <v>151</v>
      </c>
      <c r="D27" t="s">
        <v>161</v>
      </c>
    </row>
    <row r="28" spans="1:8">
      <c r="A28" t="s">
        <v>162</v>
      </c>
      <c r="B28" s="20">
        <f>'Historical Financials'!C24-'Historical Financials'!C23</f>
        <v>2082</v>
      </c>
      <c r="C28" t="s">
        <v>151</v>
      </c>
      <c r="D28" t="s">
        <v>163</v>
      </c>
    </row>
    <row r="29" spans="1:8">
      <c r="A29" t="s">
        <v>164</v>
      </c>
      <c r="B29" s="20">
        <f>SUM(B27,B28)</f>
        <v>88138.945297953003</v>
      </c>
      <c r="C29" t="s">
        <v>151</v>
      </c>
      <c r="D29" t="s">
        <v>165</v>
      </c>
    </row>
    <row r="31" spans="1:8">
      <c r="A31" s="7" t="s">
        <v>166</v>
      </c>
      <c r="B31" s="7" t="s">
        <v>32</v>
      </c>
      <c r="C31" s="7" t="s">
        <v>148</v>
      </c>
      <c r="D31" s="7" t="s">
        <v>167</v>
      </c>
    </row>
    <row r="32" spans="1:8">
      <c r="A32" t="s">
        <v>168</v>
      </c>
      <c r="B32" s="32">
        <f>B29/Assumptions!$G$9</f>
        <v>239.50800352704621</v>
      </c>
      <c r="C32" t="s">
        <v>169</v>
      </c>
      <c r="D32" t="s">
        <v>170</v>
      </c>
    </row>
    <row r="33" spans="1:7">
      <c r="A33" t="s">
        <v>171</v>
      </c>
      <c r="B33" s="32">
        <f>Assumptions!$G$8</f>
        <v>459.1</v>
      </c>
      <c r="C33" t="s">
        <v>169</v>
      </c>
      <c r="D33" t="s">
        <v>172</v>
      </c>
    </row>
    <row r="34" spans="1:7">
      <c r="A34" t="s">
        <v>173</v>
      </c>
      <c r="B34" s="16">
        <f>B32/B33-1</f>
        <v>-0.47830972875833977</v>
      </c>
      <c r="C34" t="s">
        <v>155</v>
      </c>
      <c r="D34" t="s">
        <v>174</v>
      </c>
    </row>
    <row r="37" spans="1:7" ht="27.6">
      <c r="A37" s="7" t="s">
        <v>175</v>
      </c>
      <c r="B37" s="23">
        <v>0.03</v>
      </c>
      <c r="C37" s="23">
        <v>3.5000000000000003E-2</v>
      </c>
      <c r="D37" s="23">
        <v>0.04</v>
      </c>
      <c r="E37" s="23">
        <v>4.4999999999999998E-2</v>
      </c>
      <c r="F37" s="23">
        <v>0.05</v>
      </c>
      <c r="G37" s="7"/>
    </row>
    <row r="38" spans="1:7">
      <c r="A38" s="33">
        <v>0.1</v>
      </c>
      <c r="B38" s="32">
        <f>($B$22+($B$23*(1+B$37)/($A38-B$37))/((1+$A38)^5)+$B$28)/Assumptions!$G$9</f>
        <v>245.72522426518773</v>
      </c>
      <c r="C38" s="32">
        <f>($B$22+($B$23*(1+C$37)/($A38-C$37))/((1+$A38)^5)+$B$28)/Assumptions!$G$9</f>
        <v>260.33415809527696</v>
      </c>
      <c r="D38" s="32">
        <f>($B$22+($B$23*(1+D$37)/($A38-D$37))/((1+$A38)^5)+$B$28)/Assumptions!$G$9</f>
        <v>277.37791423038112</v>
      </c>
      <c r="E38" s="32">
        <f>($B$22+($B$23*(1+E$37)/($A38-E$37))/((1+$A38)^5)+$B$28)/Assumptions!$G$9</f>
        <v>297.52053511732231</v>
      </c>
      <c r="F38" s="32">
        <f>($B$22+($B$23*(1+F$37)/($A38-F$37))/((1+$A38)^5)+$B$28)/Assumptions!$G$9</f>
        <v>321.69168018165192</v>
      </c>
    </row>
    <row r="39" spans="1:7">
      <c r="A39" s="33">
        <v>0.105</v>
      </c>
      <c r="B39" s="32">
        <f>($B$22+($B$23*(1+B$37)/($A39-B$37))/((1+$A39)^5)+$B$28)/Assumptions!$G$9</f>
        <v>230.14858751903191</v>
      </c>
      <c r="C39" s="32">
        <f>($B$22+($B$23*(1+C$37)/($A39-C$37))/((1+$A39)^5)+$B$28)/Assumptions!$G$9</f>
        <v>242.58205445500192</v>
      </c>
      <c r="D39" s="32">
        <f>($B$22+($B$23*(1+D$37)/($A39-D$37))/((1+$A39)^5)+$B$28)/Assumptions!$G$9</f>
        <v>256.92836245804426</v>
      </c>
      <c r="E39" s="32">
        <f>($B$22+($B$23*(1+E$37)/($A39-E$37))/((1+$A39)^5)+$B$28)/Assumptions!$G$9</f>
        <v>273.66572179492704</v>
      </c>
      <c r="F39" s="32">
        <f>($B$22+($B$23*(1+F$37)/($A39-F$37))/((1+$A39)^5)+$B$28)/Assumptions!$G$9</f>
        <v>293.44623737487933</v>
      </c>
    </row>
    <row r="40" spans="1:7">
      <c r="A40" s="33">
        <v>0.11</v>
      </c>
      <c r="B40" s="32">
        <f>($B$22+($B$23*(1+B$37)/($A40-B$37))/((1+$A40)^5)+$B$28)/Assumptions!$G$9</f>
        <v>216.61247292149955</v>
      </c>
      <c r="C40" s="32">
        <f>($B$22+($B$23*(1+C$37)/($A40-C$37))/((1+$A40)^5)+$B$28)/Assumptions!$G$9</f>
        <v>227.29705387075464</v>
      </c>
      <c r="D40" s="32">
        <f>($B$22+($B$23*(1+D$37)/($A40-D$37))/((1+$A40)^5)+$B$28)/Assumptions!$G$9</f>
        <v>239.50800352704621</v>
      </c>
      <c r="E40" s="32">
        <f>($B$22+($B$23*(1+E$37)/($A40-E$37))/((1+$A40)^5)+$B$28)/Assumptions!$G$9</f>
        <v>253.59756082276718</v>
      </c>
      <c r="F40" s="32">
        <f>($B$22+($B$23*(1+F$37)/($A40-F$37))/((1+$A40)^5)+$B$28)/Assumptions!$G$9</f>
        <v>270.03537766777504</v>
      </c>
    </row>
    <row r="41" spans="1:7">
      <c r="A41" s="33">
        <v>0.115</v>
      </c>
      <c r="B41" s="32">
        <f>($B$22+($B$23*(1+B$37)/($A41-B$37))/((1+$A41)^5)+$B$28)/Assumptions!$G$9</f>
        <v>204.75405237937301</v>
      </c>
      <c r="C41" s="32">
        <f>($B$22+($B$23*(1+C$37)/($A41-C$37))/((1+$A41)^5)+$B$28)/Assumptions!$G$9</f>
        <v>214.0136534619638</v>
      </c>
      <c r="D41" s="32">
        <f>($B$22+($B$23*(1+D$37)/($A41-D$37))/((1+$A41)^5)+$B$28)/Assumptions!$G$9</f>
        <v>224.50786802223342</v>
      </c>
      <c r="E41" s="32">
        <f>($B$22+($B$23*(1+E$37)/($A41-E$37))/((1+$A41)^5)+$B$28)/Assumptions!$G$9</f>
        <v>236.50125609111296</v>
      </c>
      <c r="F41" s="32">
        <f>($B$22+($B$23*(1+F$37)/($A41-F$37))/((1+$A41)^5)+$B$28)/Assumptions!$G$9</f>
        <v>250.33978078597403</v>
      </c>
    </row>
    <row r="42" spans="1:7">
      <c r="A42" s="33">
        <v>0.12</v>
      </c>
      <c r="B42" s="32">
        <f>($B$22+($B$23*(1+B$37)/($A42-B$37))/((1+$A42)^5)+$B$28)/Assumptions!$G$9</f>
        <v>194.29121772645772</v>
      </c>
      <c r="C42" s="32">
        <f>($B$22+($B$23*(1+C$37)/($A42-C$37))/((1+$A42)^5)+$B$28)/Assumptions!$G$9</f>
        <v>202.37597774968432</v>
      </c>
      <c r="D42" s="32">
        <f>($B$22+($B$23*(1+D$37)/($A42-D$37))/((1+$A42)^5)+$B$28)/Assumptions!$G$9</f>
        <v>211.47133277581423</v>
      </c>
      <c r="E42" s="32">
        <f>($B$22+($B$23*(1+E$37)/($A42-E$37))/((1+$A42)^5)+$B$28)/Assumptions!$G$9</f>
        <v>221.77940180542811</v>
      </c>
      <c r="F42" s="32">
        <f>($B$22+($B$23*(1+F$37)/($A42-F$37))/((1+$A42)^5)+$B$28)/Assumptions!$G$9</f>
        <v>233.5600521249869</v>
      </c>
    </row>
    <row r="45" spans="1:7" ht="19.95" customHeight="1">
      <c r="A45" s="42" t="s">
        <v>176</v>
      </c>
      <c r="B45" s="42" t="s">
        <v>176</v>
      </c>
      <c r="C45" s="42" t="s">
        <v>176</v>
      </c>
      <c r="D45" s="42" t="s">
        <v>176</v>
      </c>
      <c r="E45" s="42" t="s">
        <v>176</v>
      </c>
      <c r="F45" s="42" t="s">
        <v>176</v>
      </c>
      <c r="G45" s="42" t="s">
        <v>176</v>
      </c>
    </row>
    <row r="46" spans="1:7">
      <c r="A46" t="s">
        <v>177</v>
      </c>
      <c r="B46" t="s">
        <v>62</v>
      </c>
      <c r="C46" t="s">
        <v>117</v>
      </c>
      <c r="D46" t="s">
        <v>118</v>
      </c>
      <c r="E46" t="s">
        <v>119</v>
      </c>
      <c r="F46" t="s">
        <v>120</v>
      </c>
      <c r="G46" t="s">
        <v>121</v>
      </c>
    </row>
    <row r="47" spans="1:7">
      <c r="A47" t="s">
        <v>141</v>
      </c>
      <c r="B47" s="20">
        <f t="shared" ref="B47:G47" si="4">B15</f>
        <v>5286.8249999999998</v>
      </c>
      <c r="C47" s="20">
        <f t="shared" si="4"/>
        <v>5464.4110750000009</v>
      </c>
      <c r="D47" s="20">
        <f t="shared" si="4"/>
        <v>5846.9198502500003</v>
      </c>
      <c r="E47" s="20">
        <f t="shared" si="4"/>
        <v>6256.2042397675013</v>
      </c>
      <c r="F47" s="20">
        <f t="shared" si="4"/>
        <v>6694.1385365512269</v>
      </c>
      <c r="G47" s="20">
        <f t="shared" si="4"/>
        <v>7162.7282341098135</v>
      </c>
    </row>
  </sheetData>
  <mergeCells count="3">
    <mergeCell ref="A1:H1"/>
    <mergeCell ref="A20:D20"/>
    <mergeCell ref="A45:G4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
  <sheetViews>
    <sheetView showGridLines="0" workbookViewId="0">
      <selection sqref="A1:I1"/>
    </sheetView>
  </sheetViews>
  <sheetFormatPr defaultRowHeight="13.8"/>
  <cols>
    <col min="1" max="1" width="20" customWidth="1"/>
    <col min="2" max="3" width="14" customWidth="1"/>
    <col min="4" max="4" width="15" customWidth="1"/>
    <col min="5" max="5" width="12" customWidth="1"/>
    <col min="6" max="6" width="45" customWidth="1"/>
    <col min="7" max="7" width="20" customWidth="1"/>
    <col min="8" max="9" width="18" customWidth="1"/>
  </cols>
  <sheetData>
    <row r="1" spans="1:9" ht="28.05" customHeight="1">
      <c r="A1" s="37" t="s">
        <v>178</v>
      </c>
      <c r="B1" s="37" t="s">
        <v>178</v>
      </c>
      <c r="C1" s="37" t="s">
        <v>178</v>
      </c>
      <c r="D1" s="37" t="s">
        <v>178</v>
      </c>
      <c r="E1" s="37" t="s">
        <v>178</v>
      </c>
      <c r="F1" s="37" t="s">
        <v>178</v>
      </c>
      <c r="G1" s="37" t="s">
        <v>178</v>
      </c>
      <c r="H1" s="37" t="s">
        <v>178</v>
      </c>
      <c r="I1" s="37" t="s">
        <v>178</v>
      </c>
    </row>
    <row r="3" spans="1:9" ht="27.6">
      <c r="A3" s="7" t="s">
        <v>2</v>
      </c>
      <c r="B3" s="7" t="s">
        <v>179</v>
      </c>
      <c r="C3" s="7" t="s">
        <v>180</v>
      </c>
      <c r="D3" s="7" t="s">
        <v>181</v>
      </c>
      <c r="E3" s="7" t="s">
        <v>58</v>
      </c>
      <c r="F3" s="7" t="s">
        <v>65</v>
      </c>
      <c r="G3" s="7" t="s">
        <v>182</v>
      </c>
      <c r="H3" s="7" t="s">
        <v>183</v>
      </c>
      <c r="I3" s="7" t="s">
        <v>184</v>
      </c>
    </row>
    <row r="4" spans="1:9">
      <c r="A4" t="s">
        <v>185</v>
      </c>
      <c r="B4" t="s">
        <v>186</v>
      </c>
      <c r="C4" s="24">
        <v>2.48</v>
      </c>
      <c r="D4" s="24">
        <v>11.6</v>
      </c>
      <c r="E4" s="8" t="s">
        <v>187</v>
      </c>
      <c r="F4" t="s">
        <v>188</v>
      </c>
      <c r="G4" t="s">
        <v>189</v>
      </c>
      <c r="H4" s="13">
        <f>'Historical Financials'!C4</f>
        <v>83855</v>
      </c>
      <c r="I4" s="13">
        <f>'Historical Financials'!C19</f>
        <v>10314</v>
      </c>
    </row>
    <row r="5" spans="1:9">
      <c r="A5" t="s">
        <v>190</v>
      </c>
      <c r="B5" t="s">
        <v>191</v>
      </c>
      <c r="C5" s="24">
        <v>2.77</v>
      </c>
      <c r="D5" s="24">
        <v>16.78</v>
      </c>
      <c r="E5" s="8" t="s">
        <v>187</v>
      </c>
      <c r="F5" t="s">
        <v>192</v>
      </c>
      <c r="G5" t="s">
        <v>189</v>
      </c>
      <c r="H5" s="13">
        <f>'Historical Financials'!C4</f>
        <v>83855</v>
      </c>
      <c r="I5" s="13">
        <f>'Historical Financials'!C19</f>
        <v>10314</v>
      </c>
    </row>
    <row r="6" spans="1:9">
      <c r="A6" t="s">
        <v>193</v>
      </c>
      <c r="B6" t="s">
        <v>194</v>
      </c>
      <c r="C6" s="24">
        <v>7.57</v>
      </c>
      <c r="D6" s="24">
        <v>32.4</v>
      </c>
      <c r="E6" s="8" t="s">
        <v>195</v>
      </c>
      <c r="F6" t="s">
        <v>196</v>
      </c>
      <c r="G6" t="s">
        <v>189</v>
      </c>
      <c r="H6" s="13">
        <f>'Historical Financials'!C4</f>
        <v>83855</v>
      </c>
      <c r="I6" s="13">
        <f>'Historical Financials'!C19</f>
        <v>10314</v>
      </c>
    </row>
    <row r="9" spans="1:9" ht="19.95" customHeight="1">
      <c r="A9" s="42" t="s">
        <v>197</v>
      </c>
      <c r="B9" s="42" t="s">
        <v>197</v>
      </c>
      <c r="C9" s="42" t="s">
        <v>197</v>
      </c>
      <c r="D9" s="42" t="s">
        <v>197</v>
      </c>
      <c r="E9" s="42" t="s">
        <v>197</v>
      </c>
      <c r="F9" s="42" t="s">
        <v>197</v>
      </c>
    </row>
    <row r="10" spans="1:9" ht="27.6">
      <c r="A10" s="7" t="s">
        <v>60</v>
      </c>
      <c r="B10" s="7" t="s">
        <v>185</v>
      </c>
      <c r="C10" s="7" t="s">
        <v>190</v>
      </c>
      <c r="D10" s="7" t="s">
        <v>198</v>
      </c>
      <c r="E10" s="7" t="s">
        <v>199</v>
      </c>
      <c r="F10" s="7" t="s">
        <v>200</v>
      </c>
    </row>
    <row r="11" spans="1:9">
      <c r="A11" t="s">
        <v>201</v>
      </c>
      <c r="B11" s="24">
        <v>2.48</v>
      </c>
      <c r="C11" s="24">
        <v>2.77</v>
      </c>
      <c r="D11" s="25">
        <f>AVERAGE(B11:C11)</f>
        <v>2.625</v>
      </c>
      <c r="E11" s="20">
        <f>D11*'Historical Financials'!C4</f>
        <v>220119.375</v>
      </c>
      <c r="F11" s="20">
        <f>SUM(E11,D13)</f>
        <v>222201.375</v>
      </c>
    </row>
    <row r="12" spans="1:9">
      <c r="A12" t="s">
        <v>202</v>
      </c>
      <c r="B12" s="24">
        <v>11.6</v>
      </c>
      <c r="C12" s="24">
        <v>16.78</v>
      </c>
      <c r="D12" s="25">
        <f>AVERAGE(B12:C12)</f>
        <v>14.190000000000001</v>
      </c>
      <c r="E12" s="20">
        <f>D12*'Historical Financials'!C19</f>
        <v>146355.66</v>
      </c>
      <c r="F12" s="20">
        <f>SUM(E12,D13)</f>
        <v>148437.66</v>
      </c>
    </row>
    <row r="13" spans="1:9">
      <c r="A13" t="s">
        <v>162</v>
      </c>
      <c r="D13" s="13">
        <f>'Historical Financials'!C24-'Historical Financials'!C23</f>
        <v>2082</v>
      </c>
      <c r="E13" s="20"/>
      <c r="F13" s="20"/>
    </row>
    <row r="14" spans="1:9">
      <c r="A14" t="s">
        <v>203</v>
      </c>
      <c r="F14" s="22">
        <f>F11/Assumptions!$G$9</f>
        <v>603.80808423913038</v>
      </c>
    </row>
    <row r="15" spans="1:9">
      <c r="A15" t="s">
        <v>204</v>
      </c>
      <c r="F15" s="22">
        <f>F12/Assumptions!$G$9</f>
        <v>403.36320652173913</v>
      </c>
    </row>
    <row r="18" spans="1:8" ht="19.95" customHeight="1">
      <c r="A18" s="42" t="s">
        <v>205</v>
      </c>
      <c r="B18" s="42" t="s">
        <v>205</v>
      </c>
      <c r="C18" s="42" t="s">
        <v>205</v>
      </c>
      <c r="D18" s="42" t="s">
        <v>205</v>
      </c>
      <c r="E18" s="42" t="s">
        <v>205</v>
      </c>
    </row>
    <row r="19" spans="1:8" ht="27.6">
      <c r="A19" s="7" t="s">
        <v>206</v>
      </c>
      <c r="B19" s="7" t="s">
        <v>207</v>
      </c>
      <c r="C19" s="7" t="s">
        <v>208</v>
      </c>
      <c r="D19" s="7" t="s">
        <v>209</v>
      </c>
      <c r="E19" s="7" t="s">
        <v>210</v>
      </c>
    </row>
    <row r="20" spans="1:8">
      <c r="A20" t="s">
        <v>201</v>
      </c>
      <c r="B20" s="20">
        <f>F11</f>
        <v>222201.375</v>
      </c>
      <c r="C20" s="22">
        <f>B20/Assumptions!$G$9</f>
        <v>603.80808423913038</v>
      </c>
      <c r="D20" s="9">
        <v>0.5</v>
      </c>
      <c r="E20" s="22">
        <f>C20*D20</f>
        <v>301.90404211956519</v>
      </c>
    </row>
    <row r="21" spans="1:8">
      <c r="A21" t="s">
        <v>202</v>
      </c>
      <c r="B21" s="20">
        <f>F12</f>
        <v>148437.66</v>
      </c>
      <c r="C21" s="22">
        <f>B21/Assumptions!$G$9</f>
        <v>403.36320652173913</v>
      </c>
      <c r="D21" s="9">
        <v>0.5</v>
      </c>
      <c r="E21" s="22">
        <f>C21*D21</f>
        <v>201.68160326086957</v>
      </c>
    </row>
    <row r="22" spans="1:8">
      <c r="A22" t="s">
        <v>211</v>
      </c>
      <c r="B22" s="20">
        <f>SUM(B20:B21)</f>
        <v>370639.03500000003</v>
      </c>
      <c r="C22" s="22">
        <f>SUM(E20:E21)</f>
        <v>503.58564538043476</v>
      </c>
      <c r="D22" s="16">
        <f>SUM(D20:D21)</f>
        <v>1</v>
      </c>
    </row>
    <row r="24" spans="1:8" ht="14.4">
      <c r="A24" s="44" t="s">
        <v>212</v>
      </c>
      <c r="B24" s="44"/>
      <c r="C24" s="44"/>
      <c r="D24" s="44"/>
      <c r="E24" s="44"/>
      <c r="F24" s="44"/>
      <c r="G24" s="44"/>
      <c r="H24" s="44"/>
    </row>
    <row r="27" spans="1:8">
      <c r="A27" s="7" t="s">
        <v>2</v>
      </c>
      <c r="B27" s="7" t="s">
        <v>201</v>
      </c>
      <c r="C27" s="7" t="s">
        <v>202</v>
      </c>
      <c r="D27" s="7" t="s">
        <v>58</v>
      </c>
    </row>
    <row r="28" spans="1:8">
      <c r="A28" t="s">
        <v>185</v>
      </c>
      <c r="B28" s="25">
        <v>2.48</v>
      </c>
      <c r="C28" s="25">
        <v>11.6</v>
      </c>
      <c r="D28" t="s">
        <v>187</v>
      </c>
    </row>
    <row r="29" spans="1:8">
      <c r="A29" t="s">
        <v>190</v>
      </c>
      <c r="B29" s="25">
        <v>2.77</v>
      </c>
      <c r="C29" s="25">
        <v>16.78</v>
      </c>
      <c r="D29" t="s">
        <v>187</v>
      </c>
    </row>
    <row r="30" spans="1:8">
      <c r="A30" t="s">
        <v>193</v>
      </c>
      <c r="B30" s="25">
        <v>7.57</v>
      </c>
      <c r="C30" s="25">
        <v>32.4</v>
      </c>
      <c r="D30" t="s">
        <v>195</v>
      </c>
    </row>
  </sheetData>
  <mergeCells count="4">
    <mergeCell ref="A1:I1"/>
    <mergeCell ref="A9:F9"/>
    <mergeCell ref="A18:E18"/>
    <mergeCell ref="A24:H24"/>
  </mergeCells>
  <dataValidations count="1">
    <dataValidation type="list" sqref="E4:E6" xr:uid="{00000000-0002-0000-0400-000000000000}">
      <formula1>"Yes,No"</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9"/>
  <sheetViews>
    <sheetView showGridLines="0" workbookViewId="0">
      <selection sqref="A1:H1"/>
    </sheetView>
  </sheetViews>
  <sheetFormatPr defaultRowHeight="13.8"/>
  <cols>
    <col min="1" max="1" width="28" customWidth="1"/>
    <col min="2" max="2" width="16" customWidth="1"/>
    <col min="3" max="3" width="18" customWidth="1"/>
    <col min="4" max="4" width="19" customWidth="1"/>
    <col min="5" max="5" width="17" customWidth="1"/>
    <col min="6" max="6" width="13" customWidth="1"/>
    <col min="7" max="7" width="44" customWidth="1"/>
    <col min="8" max="8" width="36" customWidth="1"/>
  </cols>
  <sheetData>
    <row r="1" spans="1:8" ht="28.05" customHeight="1">
      <c r="A1" s="37" t="s">
        <v>213</v>
      </c>
      <c r="B1" s="37" t="s">
        <v>213</v>
      </c>
      <c r="C1" s="37" t="s">
        <v>213</v>
      </c>
      <c r="D1" s="37" t="s">
        <v>213</v>
      </c>
      <c r="E1" s="37" t="s">
        <v>213</v>
      </c>
      <c r="F1" s="37" t="s">
        <v>213</v>
      </c>
      <c r="G1" s="37" t="s">
        <v>213</v>
      </c>
      <c r="H1" s="37" t="s">
        <v>213</v>
      </c>
    </row>
    <row r="3" spans="1:8" ht="27.6">
      <c r="A3" s="7" t="s">
        <v>214</v>
      </c>
      <c r="B3" s="7" t="s">
        <v>215</v>
      </c>
      <c r="C3" s="7" t="s">
        <v>216</v>
      </c>
      <c r="D3" s="7" t="s">
        <v>217</v>
      </c>
      <c r="E3" s="7" t="s">
        <v>218</v>
      </c>
      <c r="F3" s="7" t="s">
        <v>219</v>
      </c>
      <c r="G3" s="7" t="s">
        <v>64</v>
      </c>
      <c r="H3" s="7" t="s">
        <v>182</v>
      </c>
    </row>
    <row r="4" spans="1:8">
      <c r="A4" t="s">
        <v>220</v>
      </c>
      <c r="B4" t="s">
        <v>221</v>
      </c>
      <c r="C4" t="s">
        <v>222</v>
      </c>
      <c r="D4" s="26">
        <v>3.8</v>
      </c>
      <c r="E4" s="26">
        <v>13.4</v>
      </c>
      <c r="F4" s="25">
        <f>D4/E4</f>
        <v>0.28358208955223879</v>
      </c>
      <c r="G4" t="s">
        <v>223</v>
      </c>
      <c r="H4" t="s">
        <v>224</v>
      </c>
    </row>
    <row r="7" spans="1:8" ht="19.95" customHeight="1">
      <c r="A7" s="42" t="s">
        <v>225</v>
      </c>
      <c r="B7" s="42" t="s">
        <v>225</v>
      </c>
      <c r="C7" s="42" t="s">
        <v>225</v>
      </c>
      <c r="D7" s="42" t="s">
        <v>225</v>
      </c>
    </row>
    <row r="8" spans="1:8">
      <c r="A8" s="7" t="s">
        <v>60</v>
      </c>
      <c r="B8" s="7" t="s">
        <v>32</v>
      </c>
      <c r="C8" s="7" t="s">
        <v>148</v>
      </c>
      <c r="D8" s="7" t="s">
        <v>65</v>
      </c>
    </row>
    <row r="9" spans="1:8">
      <c r="A9" t="s">
        <v>226</v>
      </c>
      <c r="B9" s="26">
        <v>3.8</v>
      </c>
      <c r="C9" t="s">
        <v>227</v>
      </c>
      <c r="D9" t="s">
        <v>228</v>
      </c>
    </row>
    <row r="10" spans="1:8">
      <c r="A10" t="s">
        <v>229</v>
      </c>
      <c r="B10" s="26">
        <v>13.4</v>
      </c>
      <c r="C10" t="s">
        <v>227</v>
      </c>
      <c r="D10" t="s">
        <v>230</v>
      </c>
    </row>
    <row r="11" spans="1:8">
      <c r="A11" t="s">
        <v>231</v>
      </c>
      <c r="B11" s="25">
        <f>B9/B10</f>
        <v>0.28358208955223879</v>
      </c>
      <c r="C11" t="s">
        <v>232</v>
      </c>
      <c r="D11" t="s">
        <v>233</v>
      </c>
    </row>
    <row r="12" spans="1:8">
      <c r="A12" t="s">
        <v>234</v>
      </c>
      <c r="B12" s="14">
        <v>41691</v>
      </c>
      <c r="C12" t="s">
        <v>151</v>
      </c>
      <c r="D12" t="s">
        <v>228</v>
      </c>
    </row>
    <row r="13" spans="1:8">
      <c r="A13" t="s">
        <v>235</v>
      </c>
      <c r="B13" s="22">
        <f>B12/B9</f>
        <v>10971.315789473685</v>
      </c>
      <c r="C13" t="s">
        <v>236</v>
      </c>
      <c r="D13" t="s">
        <v>237</v>
      </c>
    </row>
    <row r="14" spans="1:8">
      <c r="A14" t="s">
        <v>238</v>
      </c>
      <c r="B14" s="20">
        <f>B11*'Historical Financials'!C4</f>
        <v>23779.776119402984</v>
      </c>
      <c r="C14" t="s">
        <v>151</v>
      </c>
      <c r="D14" t="s">
        <v>239</v>
      </c>
    </row>
    <row r="16" spans="1:8">
      <c r="A16" s="45" t="s">
        <v>240</v>
      </c>
      <c r="B16" s="45"/>
      <c r="C16" s="45"/>
      <c r="D16" s="45"/>
      <c r="E16" s="45"/>
      <c r="F16" s="45"/>
      <c r="G16" s="45"/>
      <c r="H16" s="45"/>
    </row>
    <row r="17" spans="1:8">
      <c r="A17" s="45"/>
      <c r="B17" s="45"/>
      <c r="C17" s="45"/>
      <c r="D17" s="45"/>
      <c r="E17" s="45"/>
      <c r="F17" s="45"/>
      <c r="G17" s="45"/>
      <c r="H17" s="45"/>
    </row>
    <row r="18" spans="1:8">
      <c r="A18" s="45"/>
      <c r="B18" s="45"/>
      <c r="C18" s="45"/>
      <c r="D18" s="45"/>
      <c r="E18" s="45"/>
      <c r="F18" s="45"/>
      <c r="G18" s="45"/>
      <c r="H18" s="45"/>
    </row>
    <row r="19" spans="1:8">
      <c r="A19" s="45"/>
      <c r="B19" s="45"/>
      <c r="C19" s="45"/>
      <c r="D19" s="45"/>
      <c r="E19" s="45"/>
      <c r="F19" s="45"/>
      <c r="G19" s="45"/>
      <c r="H19" s="45"/>
    </row>
  </sheetData>
  <mergeCells count="3">
    <mergeCell ref="A1:H1"/>
    <mergeCell ref="A7:D7"/>
    <mergeCell ref="A16:H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8"/>
  <sheetViews>
    <sheetView showGridLines="0" topLeftCell="B1" workbookViewId="0">
      <selection sqref="A1:H1"/>
    </sheetView>
  </sheetViews>
  <sheetFormatPr defaultRowHeight="13.8"/>
  <cols>
    <col min="1" max="1" width="28" customWidth="1"/>
    <col min="2" max="2" width="17" customWidth="1"/>
    <col min="3" max="3" width="19" customWidth="1"/>
    <col min="4" max="4" width="17" customWidth="1"/>
    <col min="5" max="5" width="12" customWidth="1"/>
    <col min="6" max="6" width="28" customWidth="1"/>
    <col min="7" max="8" width="18" customWidth="1"/>
  </cols>
  <sheetData>
    <row r="1" spans="1:8" ht="28.05" customHeight="1">
      <c r="A1" s="37" t="s">
        <v>241</v>
      </c>
      <c r="B1" s="37" t="s">
        <v>241</v>
      </c>
      <c r="C1" s="37" t="s">
        <v>241</v>
      </c>
      <c r="D1" s="37" t="s">
        <v>241</v>
      </c>
      <c r="E1" s="37" t="s">
        <v>241</v>
      </c>
      <c r="F1" s="37" t="s">
        <v>241</v>
      </c>
      <c r="G1" s="37" t="s">
        <v>241</v>
      </c>
      <c r="H1" s="37" t="s">
        <v>241</v>
      </c>
    </row>
    <row r="3" spans="1:8" ht="19.95" customHeight="1">
      <c r="A3" s="42" t="s">
        <v>242</v>
      </c>
      <c r="B3" s="42" t="s">
        <v>242</v>
      </c>
      <c r="C3" s="42" t="s">
        <v>242</v>
      </c>
      <c r="D3" s="42" t="s">
        <v>242</v>
      </c>
    </row>
    <row r="4" spans="1:8" ht="27.6">
      <c r="A4" s="7" t="s">
        <v>243</v>
      </c>
      <c r="B4" s="7" t="s">
        <v>244</v>
      </c>
      <c r="C4" s="7" t="s">
        <v>245</v>
      </c>
      <c r="D4" s="7" t="s">
        <v>246</v>
      </c>
    </row>
    <row r="5" spans="1:8">
      <c r="A5" t="s">
        <v>28</v>
      </c>
      <c r="B5" s="22">
        <f>((((((('Historical Financials'!$C$4*(1+Assumptions!$B$5)^1)*Assumptions!$B$6-('Historical Financials'!$C$4*(1+Assumptions!$B$5)^1)*Assumptions!$B$8)*(1-Assumptions!$B$7))+('Historical Financials'!$C$4*(1+Assumptions!$B$5)^1)*Assumptions!$B$8-(('Historical Financials'!$C$4*(1+Assumptions!$B$5)^1)*Assumptions!$B$9)-((('Historical Financials'!$C$4*(1+Assumptions!$B$5)^1)*Assumptions!$B$10)-(('Historical Financials'!$C$4*(1+Assumptions!$B$5)^0)*Assumptions!$B$10)))/(1+Assumptions!$G$6)^1) + ((((('Historical Financials'!$C$4*(1+Assumptions!$B$5)^2)*Assumptions!$B$6-('Historical Financials'!$C$4*(1+Assumptions!$B$5)^2)*Assumptions!$B$8)*(1-Assumptions!$B$7))+('Historical Financials'!$C$4*(1+Assumptions!$B$5)^2)*Assumptions!$B$8-(('Historical Financials'!$C$4*(1+Assumptions!$B$5)^2)*Assumptions!$B$9)-((('Historical Financials'!$C$4*(1+Assumptions!$B$5)^2)*Assumptions!$B$10)-(('Historical Financials'!$C$4*(1+Assumptions!$B$5)^1)*Assumptions!$B$10)))/(1+Assumptions!$G$6)^2) + ((((('Historical Financials'!$C$4*(1+Assumptions!$B$5)^3)*Assumptions!$B$6-('Historical Financials'!$C$4*(1+Assumptions!$B$5)^3)*Assumptions!$B$8)*(1-Assumptions!$B$7))+('Historical Financials'!$C$4*(1+Assumptions!$B$5)^3)*Assumptions!$B$8-(('Historical Financials'!$C$4*(1+Assumptions!$B$5)^3)*Assumptions!$B$9)-((('Historical Financials'!$C$4*(1+Assumptions!$B$5)^3)*Assumptions!$B$10)-(('Historical Financials'!$C$4*(1+Assumptions!$B$5)^2)*Assumptions!$B$10)))/(1+Assumptions!$G$6)^3) + ((((('Historical Financials'!$C$4*(1+Assumptions!$B$5)^4)*Assumptions!$B$6-('Historical Financials'!$C$4*(1+Assumptions!$B$5)^4)*Assumptions!$B$8)*(1-Assumptions!$B$7))+('Historical Financials'!$C$4*(1+Assumptions!$B$5)^4)*Assumptions!$B$8-(('Historical Financials'!$C$4*(1+Assumptions!$B$5)^4)*Assumptions!$B$9)-((('Historical Financials'!$C$4*(1+Assumptions!$B$5)^4)*Assumptions!$B$10)-(('Historical Financials'!$C$4*(1+Assumptions!$B$5)^3)*Assumptions!$B$10)))/(1+Assumptions!$G$6)^4) + ((((('Historical Financials'!$C$4*(1+Assumptions!$B$5)^5)*Assumptions!$B$6-('Historical Financials'!$C$4*(1+Assumptions!$B$5)^5)*Assumptions!$B$8)*(1-Assumptions!$B$7))+('Historical Financials'!$C$4*(1+Assumptions!$B$5)^5)*Assumptions!$B$8-(('Historical Financials'!$C$4*(1+Assumptions!$B$5)^5)*Assumptions!$B$9)-((('Historical Financials'!$C$4*(1+Assumptions!$B$5)^5)*Assumptions!$B$10)-(('Historical Financials'!$C$4*(1+Assumptions!$B$5)^4)*Assumptions!$B$10)))/(1+Assumptions!$G$6)^5))+(((((('Historical Financials'!$C$4*(1+Assumptions!$B$5)^5)*Assumptions!$B$6-('Historical Financials'!$C$4*(1+Assumptions!$B$5)^5)*Assumptions!$B$8)*(1-Assumptions!$B$7))+('Historical Financials'!$C$4*(1+Assumptions!$B$5)^5)*Assumptions!$B$8-(('Historical Financials'!$C$4*(1+Assumptions!$B$5)^5)*Assumptions!$B$9)-((('Historical Financials'!$C$4*(1+Assumptions!$B$5)^5)*Assumptions!$B$10)-('Historical Financials'!$C$4*(1+Assumptions!$B$5)^4*Assumptions!$B$10))))*(1+Assumptions!$G$7)/(Assumptions!$G$6-Assumptions!$G$7))/((1+Assumptions!$G$6)^5)+('Historical Financials'!$C$24-'Historical Financials'!$C$23))/Assumptions!$G$9</f>
        <v>191.46674689440988</v>
      </c>
      <c r="C5" s="22">
        <f>'Trading Comps'!$C$22</f>
        <v>503.58564538043476</v>
      </c>
      <c r="D5" s="22">
        <f>AVERAGE(B5,C5)</f>
        <v>347.52619613742229</v>
      </c>
    </row>
    <row r="6" spans="1:8">
      <c r="A6" t="s">
        <v>29</v>
      </c>
      <c r="B6" s="22">
        <f>((((((('Historical Financials'!$C$4*(1+Assumptions!$C$5)^1)*Assumptions!$C$6-('Historical Financials'!$C$4*(1+Assumptions!$C$5)^1)*Assumptions!$B$8)*(1-Assumptions!$C$7))+('Historical Financials'!$C$4*(1+Assumptions!$C$5)^1)*Assumptions!$B$8-(('Historical Financials'!$C$4*(1+Assumptions!$C$5)^1)*Assumptions!$C$9)-((('Historical Financials'!$C$4*(1+Assumptions!$C$5)^1)*Assumptions!$C$10)-(('Historical Financials'!$C$4*(1+Assumptions!$C$5)^0)*Assumptions!$C$10)))/(1+Assumptions!$G$6)^1) + ((((('Historical Financials'!$C$4*(1+Assumptions!$C$5)^2)*Assumptions!$C$6-('Historical Financials'!$C$4*(1+Assumptions!$C$5)^2)*Assumptions!$B$8)*(1-Assumptions!$C$7))+('Historical Financials'!$C$4*(1+Assumptions!$C$5)^2)*Assumptions!$B$8-(('Historical Financials'!$C$4*(1+Assumptions!$C$5)^2)*Assumptions!$C$9)-((('Historical Financials'!$C$4*(1+Assumptions!$C$5)^2)*Assumptions!$C$10)-(('Historical Financials'!$C$4*(1+Assumptions!$C$5)^1)*Assumptions!$C$10)))/(1+Assumptions!$G$6)^2) + ((((('Historical Financials'!$C$4*(1+Assumptions!$C$5)^3)*Assumptions!$C$6-('Historical Financials'!$C$4*(1+Assumptions!$C$5)^3)*Assumptions!$B$8)*(1-Assumptions!$C$7))+('Historical Financials'!$C$4*(1+Assumptions!$C$5)^3)*Assumptions!$B$8-(('Historical Financials'!$C$4*(1+Assumptions!$C$5)^3)*Assumptions!$C$9)-((('Historical Financials'!$C$4*(1+Assumptions!$C$5)^3)*Assumptions!$C$10)-(('Historical Financials'!$C$4*(1+Assumptions!$C$5)^2)*Assumptions!$C$10)))/(1+Assumptions!$G$6)^3) + ((((('Historical Financials'!$C$4*(1+Assumptions!$C$5)^4)*Assumptions!$C$6-('Historical Financials'!$C$4*(1+Assumptions!$C$5)^4)*Assumptions!$B$8)*(1-Assumptions!$C$7))+('Historical Financials'!$C$4*(1+Assumptions!$C$5)^4)*Assumptions!$B$8-(('Historical Financials'!$C$4*(1+Assumptions!$C$5)^4)*Assumptions!$C$9)-((('Historical Financials'!$C$4*(1+Assumptions!$C$5)^4)*Assumptions!$C$10)-(('Historical Financials'!$C$4*(1+Assumptions!$C$5)^3)*Assumptions!$C$10)))/(1+Assumptions!$G$6)^4) + ((((('Historical Financials'!$C$4*(1+Assumptions!$C$5)^5)*Assumptions!$C$6-('Historical Financials'!$C$4*(1+Assumptions!$C$5)^5)*Assumptions!$B$8)*(1-Assumptions!$C$7))+('Historical Financials'!$C$4*(1+Assumptions!$C$5)^5)*Assumptions!$B$8-(('Historical Financials'!$C$4*(1+Assumptions!$C$5)^5)*Assumptions!$C$9)-((('Historical Financials'!$C$4*(1+Assumptions!$C$5)^5)*Assumptions!$C$10)-(('Historical Financials'!$C$4*(1+Assumptions!$C$5)^4)*Assumptions!$C$10)))/(1+Assumptions!$G$6)^5))+(((((('Historical Financials'!$C$4*(1+Assumptions!$C$5)^5)*Assumptions!$C$6-('Historical Financials'!$C$4*(1+Assumptions!$C$5)^5)*Assumptions!$B$8)*(1-Assumptions!$C$7))+('Historical Financials'!$C$4*(1+Assumptions!$C$5)^5)*Assumptions!$B$8-(('Historical Financials'!$C$4*(1+Assumptions!$C$5)^5)*Assumptions!$C$9)-((('Historical Financials'!$C$4*(1+Assumptions!$C$5)^5)*Assumptions!$C$10)-('Historical Financials'!$C$4*(1+Assumptions!$C$5)^4*Assumptions!$C$10))))*(1+Assumptions!$G$7)/(Assumptions!$G$6-Assumptions!$G$7))/((1+Assumptions!$G$6)^5)+('Historical Financials'!$C$24-'Historical Financials'!$C$23))/Assumptions!$G$9</f>
        <v>239.50800352704613</v>
      </c>
      <c r="C6" s="22">
        <f>'Trading Comps'!$C$22</f>
        <v>503.58564538043476</v>
      </c>
      <c r="D6" s="22">
        <f>AVERAGE(B6,C6)</f>
        <v>371.54682445374044</v>
      </c>
    </row>
    <row r="7" spans="1:8">
      <c r="A7" t="s">
        <v>30</v>
      </c>
      <c r="B7" s="22">
        <f>((((((('Historical Financials'!$C$4*(1+Assumptions!$D$5)^1)*Assumptions!$D$6-('Historical Financials'!$C$4*(1+Assumptions!$D$5)^1)*Assumptions!$B$8)*(1-Assumptions!$D$7))+('Historical Financials'!$C$4*(1+Assumptions!$D$5)^1)*Assumptions!$B$8-(('Historical Financials'!$C$4*(1+Assumptions!$D$5)^1)*Assumptions!$D$9)-((('Historical Financials'!$C$4*(1+Assumptions!$D$5)^1)*Assumptions!$D$10)-(('Historical Financials'!$C$4*(1+Assumptions!$D$5)^0)*Assumptions!$D$10)))/(1+Assumptions!$G$6)^1) + ((((('Historical Financials'!$C$4*(1+Assumptions!$D$5)^2)*Assumptions!$D$6-('Historical Financials'!$C$4*(1+Assumptions!$D$5)^2)*Assumptions!$B$8)*(1-Assumptions!$D$7))+('Historical Financials'!$C$4*(1+Assumptions!$D$5)^2)*Assumptions!$B$8-(('Historical Financials'!$C$4*(1+Assumptions!$D$5)^2)*Assumptions!$D$9)-((('Historical Financials'!$C$4*(1+Assumptions!$D$5)^2)*Assumptions!$D$10)-(('Historical Financials'!$C$4*(1+Assumptions!$D$5)^1)*Assumptions!$D$10)))/(1+Assumptions!$G$6)^2) + ((((('Historical Financials'!$C$4*(1+Assumptions!$D$5)^3)*Assumptions!$D$6-('Historical Financials'!$C$4*(1+Assumptions!$D$5)^3)*Assumptions!$B$8)*(1-Assumptions!$D$7))+('Historical Financials'!$C$4*(1+Assumptions!$D$5)^3)*Assumptions!$B$8-(('Historical Financials'!$C$4*(1+Assumptions!$D$5)^3)*Assumptions!$D$9)-((('Historical Financials'!$C$4*(1+Assumptions!$D$5)^3)*Assumptions!$D$10)-(('Historical Financials'!$C$4*(1+Assumptions!$D$5)^2)*Assumptions!$D$10)))/(1+Assumptions!$G$6)^3) + ((((('Historical Financials'!$C$4*(1+Assumptions!$D$5)^4)*Assumptions!$D$6-('Historical Financials'!$C$4*(1+Assumptions!$D$5)^4)*Assumptions!$B$8)*(1-Assumptions!$D$7))+('Historical Financials'!$C$4*(1+Assumptions!$D$5)^4)*Assumptions!$B$8-(('Historical Financials'!$C$4*(1+Assumptions!$D$5)^4)*Assumptions!$D$9)-((('Historical Financials'!$C$4*(1+Assumptions!$D$5)^4)*Assumptions!$D$10)-(('Historical Financials'!$C$4*(1+Assumptions!$D$5)^3)*Assumptions!$D$10)))/(1+Assumptions!$G$6)^4) + ((((('Historical Financials'!$C$4*(1+Assumptions!$D$5)^5)*Assumptions!$D$6-('Historical Financials'!$C$4*(1+Assumptions!$D$5)^5)*Assumptions!$B$8)*(1-Assumptions!$D$7))+('Historical Financials'!$C$4*(1+Assumptions!$D$5)^5)*Assumptions!$B$8-(('Historical Financials'!$C$4*(1+Assumptions!$D$5)^5)*Assumptions!$D$9)-((('Historical Financials'!$C$4*(1+Assumptions!$D$5)^5)*Assumptions!$D$10)-(('Historical Financials'!$C$4*(1+Assumptions!$D$5)^4)*Assumptions!$D$10)))/(1+Assumptions!$G$6)^5))+(((((('Historical Financials'!$C$4*(1+Assumptions!$D$5)^5)*Assumptions!$D$6-('Historical Financials'!$C$4*(1+Assumptions!$D$5)^5)*Assumptions!$B$8)*(1-Assumptions!$D$7))+('Historical Financials'!$C$4*(1+Assumptions!$D$5)^5)*Assumptions!$B$8-(('Historical Financials'!$C$4*(1+Assumptions!$D$5)^5)*Assumptions!$D$9)-((('Historical Financials'!$C$4*(1+Assumptions!$D$5)^5)*Assumptions!$D$10)-('Historical Financials'!$C$4*(1+Assumptions!$D$5)^4*Assumptions!$D$10))))*(1+Assumptions!$G$7)/(Assumptions!$G$6-Assumptions!$G$7))/((1+Assumptions!$G$6)^5)+('Historical Financials'!$C$24-'Historical Financials'!$C$23))/Assumptions!$G$9</f>
        <v>271.35210907346254</v>
      </c>
      <c r="C7" s="22">
        <f>'Trading Comps'!$C$22</f>
        <v>503.58564538043476</v>
      </c>
      <c r="D7" s="22">
        <f>AVERAGE(B7,C7)</f>
        <v>387.46887722694862</v>
      </c>
    </row>
    <row r="8" spans="1:8">
      <c r="A8" t="s">
        <v>247</v>
      </c>
      <c r="B8" s="22">
        <f>Assumptions!$G$8</f>
        <v>459.1</v>
      </c>
      <c r="C8" s="22">
        <f>'Trading Comps'!$C$22</f>
        <v>503.58564538043476</v>
      </c>
      <c r="D8" s="22">
        <f>Assumptions!$G$8</f>
        <v>459.1</v>
      </c>
    </row>
    <row r="11" spans="1:8" ht="19.95" customHeight="1">
      <c r="A11" s="42" t="s">
        <v>248</v>
      </c>
      <c r="B11" s="42" t="s">
        <v>248</v>
      </c>
      <c r="C11" s="42" t="s">
        <v>248</v>
      </c>
      <c r="D11" s="42" t="s">
        <v>248</v>
      </c>
      <c r="E11" s="42" t="s">
        <v>248</v>
      </c>
      <c r="F11" s="42" t="s">
        <v>248</v>
      </c>
    </row>
    <row r="12" spans="1:8">
      <c r="A12" s="7" t="s">
        <v>249</v>
      </c>
      <c r="B12" s="7" t="s">
        <v>32</v>
      </c>
      <c r="C12" s="7" t="s">
        <v>148</v>
      </c>
      <c r="D12" s="7" t="s">
        <v>250</v>
      </c>
      <c r="E12" s="7" t="s">
        <v>251</v>
      </c>
      <c r="F12" s="7" t="s">
        <v>252</v>
      </c>
    </row>
    <row r="13" spans="1:8">
      <c r="A13" t="s">
        <v>253</v>
      </c>
      <c r="B13" s="27">
        <v>100000</v>
      </c>
      <c r="C13" t="s">
        <v>254</v>
      </c>
      <c r="D13" t="s">
        <v>255</v>
      </c>
      <c r="E13" t="s">
        <v>187</v>
      </c>
      <c r="F13" t="s">
        <v>256</v>
      </c>
    </row>
    <row r="14" spans="1:8">
      <c r="A14" t="s">
        <v>257</v>
      </c>
      <c r="B14" s="22">
        <f>Assumptions!$G$8</f>
        <v>459.1</v>
      </c>
      <c r="C14" t="s">
        <v>169</v>
      </c>
      <c r="D14" t="s">
        <v>171</v>
      </c>
      <c r="E14" t="s">
        <v>195</v>
      </c>
      <c r="F14" t="s">
        <v>258</v>
      </c>
    </row>
    <row r="15" spans="1:8">
      <c r="A15" t="s">
        <v>259</v>
      </c>
      <c r="B15" s="28">
        <f>B13/B14</f>
        <v>217.81746896101066</v>
      </c>
      <c r="C15" t="s">
        <v>260</v>
      </c>
      <c r="D15" t="s">
        <v>261</v>
      </c>
      <c r="E15" t="s">
        <v>195</v>
      </c>
      <c r="F15" t="s">
        <v>262</v>
      </c>
    </row>
    <row r="16" spans="1:8">
      <c r="A16" t="s">
        <v>263</v>
      </c>
      <c r="B16" s="22">
        <f>D6</f>
        <v>371.54682445374044</v>
      </c>
      <c r="C16" t="s">
        <v>169</v>
      </c>
      <c r="D16" t="s">
        <v>264</v>
      </c>
      <c r="E16" t="s">
        <v>195</v>
      </c>
      <c r="F16" t="s">
        <v>265</v>
      </c>
    </row>
    <row r="17" spans="1:8">
      <c r="A17" t="s">
        <v>266</v>
      </c>
      <c r="B17" s="29">
        <f>B15*B16</f>
        <v>80929.388903014682</v>
      </c>
      <c r="C17" t="s">
        <v>254</v>
      </c>
      <c r="D17" t="s">
        <v>267</v>
      </c>
      <c r="E17" t="s">
        <v>195</v>
      </c>
    </row>
    <row r="18" spans="1:8">
      <c r="A18" t="s">
        <v>268</v>
      </c>
      <c r="B18" s="29">
        <f>B17-B13</f>
        <v>-19070.611096985318</v>
      </c>
      <c r="C18" t="s">
        <v>254</v>
      </c>
      <c r="D18" t="s">
        <v>269</v>
      </c>
      <c r="E18" t="s">
        <v>195</v>
      </c>
    </row>
    <row r="19" spans="1:8">
      <c r="A19" t="s">
        <v>270</v>
      </c>
      <c r="B19" s="16">
        <f>B18/B13</f>
        <v>-0.19070611096985318</v>
      </c>
      <c r="C19" t="s">
        <v>155</v>
      </c>
      <c r="D19" t="s">
        <v>271</v>
      </c>
      <c r="E19" t="s">
        <v>195</v>
      </c>
    </row>
    <row r="22" spans="1:8" ht="19.95" customHeight="1">
      <c r="A22" s="42" t="s">
        <v>272</v>
      </c>
      <c r="B22" s="42" t="s">
        <v>272</v>
      </c>
      <c r="C22" s="42" t="s">
        <v>272</v>
      </c>
      <c r="D22" s="42" t="s">
        <v>272</v>
      </c>
      <c r="E22" s="42" t="s">
        <v>272</v>
      </c>
      <c r="F22" s="42" t="s">
        <v>272</v>
      </c>
      <c r="G22" s="42" t="s">
        <v>272</v>
      </c>
      <c r="H22" s="42" t="s">
        <v>272</v>
      </c>
    </row>
    <row r="23" spans="1:8">
      <c r="A23" s="41" t="s">
        <v>273</v>
      </c>
      <c r="B23" s="41"/>
      <c r="C23" s="41"/>
      <c r="D23" s="41"/>
      <c r="E23" s="41"/>
      <c r="F23" s="41"/>
      <c r="G23" s="41"/>
      <c r="H23" s="41"/>
    </row>
    <row r="24" spans="1:8">
      <c r="A24" s="41"/>
      <c r="B24" s="41"/>
      <c r="C24" s="41"/>
      <c r="D24" s="41"/>
      <c r="E24" s="41"/>
      <c r="F24" s="41"/>
      <c r="G24" s="41"/>
      <c r="H24" s="41"/>
    </row>
    <row r="25" spans="1:8">
      <c r="A25" s="41"/>
      <c r="B25" s="41"/>
      <c r="C25" s="41"/>
      <c r="D25" s="41"/>
      <c r="E25" s="41"/>
      <c r="F25" s="41"/>
      <c r="G25" s="41"/>
      <c r="H25" s="41"/>
    </row>
    <row r="26" spans="1:8">
      <c r="A26" s="41"/>
      <c r="B26" s="41"/>
      <c r="C26" s="41"/>
      <c r="D26" s="41"/>
      <c r="E26" s="41"/>
      <c r="F26" s="41"/>
      <c r="G26" s="41"/>
      <c r="H26" s="41"/>
    </row>
    <row r="27" spans="1:8">
      <c r="A27" s="41"/>
      <c r="B27" s="41"/>
      <c r="C27" s="41"/>
      <c r="D27" s="41"/>
      <c r="E27" s="41"/>
      <c r="F27" s="41"/>
      <c r="G27" s="41"/>
      <c r="H27" s="41"/>
    </row>
    <row r="28" spans="1:8">
      <c r="A28" s="41"/>
      <c r="B28" s="41"/>
      <c r="C28" s="41"/>
      <c r="D28" s="41"/>
      <c r="E28" s="41"/>
      <c r="F28" s="41"/>
      <c r="G28" s="41"/>
      <c r="H28" s="41"/>
    </row>
  </sheetData>
  <mergeCells count="5">
    <mergeCell ref="A1:H1"/>
    <mergeCell ref="A3:D3"/>
    <mergeCell ref="A11:F11"/>
    <mergeCell ref="A22:H22"/>
    <mergeCell ref="A23:H28"/>
  </mergeCells>
  <conditionalFormatting sqref="B18">
    <cfRule type="cellIs" dxfId="2" priority="1" operator="lessThan">
      <formula>0</formula>
    </cfRule>
  </conditionalFormatting>
  <conditionalFormatting sqref="B19">
    <cfRule type="colorScale" priority="2">
      <colorScale>
        <cfvo type="min"/>
        <cfvo type="percentile" val="50"/>
        <cfvo type="max"/>
        <color rgb="FFFECACA"/>
        <color rgb="FFFEF3C7"/>
        <color rgb="FFDCFCE7"/>
      </colorScale>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5"/>
  <sheetViews>
    <sheetView showGridLines="0" workbookViewId="0">
      <selection sqref="A1:L1"/>
    </sheetView>
  </sheetViews>
  <sheetFormatPr defaultRowHeight="13.8"/>
  <cols>
    <col min="1" max="1" width="26" customWidth="1"/>
    <col min="2" max="3" width="18" customWidth="1"/>
    <col min="4" max="4" width="30" customWidth="1"/>
    <col min="5" max="5" width="3" customWidth="1"/>
    <col min="6" max="6" width="18" customWidth="1"/>
    <col min="7" max="12" width="16" customWidth="1"/>
  </cols>
  <sheetData>
    <row r="1" spans="1:12" ht="28.05" customHeight="1">
      <c r="A1" s="37" t="s">
        <v>274</v>
      </c>
      <c r="B1" s="37" t="s">
        <v>274</v>
      </c>
      <c r="C1" s="37" t="s">
        <v>274</v>
      </c>
      <c r="D1" s="37" t="s">
        <v>274</v>
      </c>
      <c r="E1" s="37" t="s">
        <v>274</v>
      </c>
      <c r="F1" s="37" t="s">
        <v>274</v>
      </c>
      <c r="G1" s="37" t="s">
        <v>274</v>
      </c>
      <c r="H1" s="37" t="s">
        <v>274</v>
      </c>
      <c r="I1" s="37" t="s">
        <v>274</v>
      </c>
      <c r="J1" s="37" t="s">
        <v>274</v>
      </c>
      <c r="K1" s="37" t="s">
        <v>274</v>
      </c>
      <c r="L1" s="37" t="s">
        <v>274</v>
      </c>
    </row>
    <row r="3" spans="1:12" ht="14.4">
      <c r="A3" s="46" t="s">
        <v>275</v>
      </c>
      <c r="B3" s="46"/>
      <c r="C3" s="46"/>
      <c r="D3" s="46"/>
      <c r="E3" s="46"/>
      <c r="F3" s="46"/>
      <c r="G3" s="46"/>
      <c r="H3" s="46"/>
      <c r="I3" s="46"/>
      <c r="J3" s="46"/>
      <c r="K3" s="46"/>
      <c r="L3" s="46"/>
    </row>
    <row r="5" spans="1:12" ht="19.95" customHeight="1">
      <c r="A5" s="42" t="s">
        <v>276</v>
      </c>
      <c r="B5" s="42" t="s">
        <v>276</v>
      </c>
      <c r="C5" s="42" t="s">
        <v>276</v>
      </c>
      <c r="D5" s="42" t="s">
        <v>276</v>
      </c>
      <c r="F5" s="42" t="s">
        <v>277</v>
      </c>
      <c r="G5" s="42" t="s">
        <v>277</v>
      </c>
      <c r="H5" s="42" t="s">
        <v>277</v>
      </c>
      <c r="I5" s="42" t="s">
        <v>277</v>
      </c>
      <c r="J5" s="42" t="s">
        <v>277</v>
      </c>
      <c r="K5" s="42" t="s">
        <v>277</v>
      </c>
      <c r="L5" s="42" t="s">
        <v>277</v>
      </c>
    </row>
    <row r="6" spans="1:12">
      <c r="A6" s="7" t="s">
        <v>60</v>
      </c>
      <c r="B6" s="7" t="s">
        <v>278</v>
      </c>
      <c r="C6" s="7" t="s">
        <v>151</v>
      </c>
      <c r="D6" s="7" t="s">
        <v>65</v>
      </c>
      <c r="F6" s="7" t="s">
        <v>206</v>
      </c>
      <c r="G6" s="7" t="s">
        <v>279</v>
      </c>
      <c r="H6" s="7" t="s">
        <v>78</v>
      </c>
      <c r="I6" s="7" t="s">
        <v>280</v>
      </c>
      <c r="J6" s="7" t="s">
        <v>281</v>
      </c>
      <c r="K6" s="7" t="s">
        <v>282</v>
      </c>
      <c r="L6" s="7"/>
    </row>
    <row r="7" spans="1:12">
      <c r="A7" t="s">
        <v>171</v>
      </c>
      <c r="B7" s="32">
        <f>Assumptions!$G$8</f>
        <v>459.1</v>
      </c>
      <c r="C7" s="20">
        <f>Assumptions!$G$10</f>
        <v>169073</v>
      </c>
      <c r="D7" t="s">
        <v>258</v>
      </c>
      <c r="F7" t="s">
        <v>283</v>
      </c>
      <c r="G7" s="22">
        <f>B7</f>
        <v>459.1</v>
      </c>
      <c r="H7" s="22">
        <f>B8</f>
        <v>239.50800352704621</v>
      </c>
      <c r="I7" s="22">
        <f>B9</f>
        <v>503.58564538043476</v>
      </c>
      <c r="J7" s="22">
        <f>B10</f>
        <v>64.618956846203758</v>
      </c>
      <c r="K7" s="22">
        <f>B11</f>
        <v>371.5468244537405</v>
      </c>
    </row>
    <row r="8" spans="1:12">
      <c r="A8" t="s">
        <v>78</v>
      </c>
      <c r="B8" s="32">
        <f>DCF!$B$32</f>
        <v>239.50800352704621</v>
      </c>
      <c r="C8" s="20">
        <f>DCF!$B$29</f>
        <v>88138.945297953003</v>
      </c>
      <c r="D8" t="s">
        <v>284</v>
      </c>
    </row>
    <row r="9" spans="1:12">
      <c r="A9" t="s">
        <v>280</v>
      </c>
      <c r="B9" s="32">
        <f>'Trading Comps'!$C$22</f>
        <v>503.58564538043476</v>
      </c>
      <c r="C9" s="20">
        <f>'Trading Comps'!$B$22</f>
        <v>370639.03500000003</v>
      </c>
      <c r="D9" t="s">
        <v>285</v>
      </c>
    </row>
    <row r="10" spans="1:12">
      <c r="A10" t="s">
        <v>286</v>
      </c>
      <c r="B10" s="32">
        <f>'Precedent Transactions'!$B$11*'Historical Financials'!$C$4/Assumptions!$G$9</f>
        <v>64.618956846203758</v>
      </c>
      <c r="C10" s="20">
        <f>'Precedent Transactions'!$B$11*'Historical Financials'!$C$4</f>
        <v>23779.776119402984</v>
      </c>
      <c r="D10" t="s">
        <v>287</v>
      </c>
    </row>
    <row r="11" spans="1:12">
      <c r="A11" t="s">
        <v>282</v>
      </c>
      <c r="B11" s="32">
        <f>AVERAGE(B8,B9)</f>
        <v>371.5468244537405</v>
      </c>
      <c r="C11" s="20">
        <f>AVERAGE(C8,C9)</f>
        <v>229388.9901489765</v>
      </c>
      <c r="D11" t="s">
        <v>288</v>
      </c>
    </row>
    <row r="12" spans="1:12">
      <c r="A12" t="s">
        <v>289</v>
      </c>
      <c r="B12" s="16">
        <f>B11/B7-1</f>
        <v>-0.19070611096985302</v>
      </c>
      <c r="D12" t="s">
        <v>290</v>
      </c>
    </row>
    <row r="15" spans="1:12" ht="19.95" customHeight="1">
      <c r="A15" s="42" t="s">
        <v>291</v>
      </c>
      <c r="B15" s="42" t="s">
        <v>291</v>
      </c>
      <c r="C15" s="42" t="s">
        <v>291</v>
      </c>
      <c r="D15" s="42" t="s">
        <v>291</v>
      </c>
    </row>
    <row r="16" spans="1:12">
      <c r="A16" s="7" t="s">
        <v>292</v>
      </c>
      <c r="B16" s="7" t="s">
        <v>32</v>
      </c>
      <c r="C16" s="7" t="s">
        <v>148</v>
      </c>
      <c r="D16" s="7" t="s">
        <v>167</v>
      </c>
    </row>
    <row r="17" spans="1:12">
      <c r="A17" t="s">
        <v>293</v>
      </c>
      <c r="B17" s="16">
        <f>'Investment Simulation'!$B$19</f>
        <v>-0.19070611096985318</v>
      </c>
      <c r="C17" t="s">
        <v>155</v>
      </c>
      <c r="D17" t="s">
        <v>294</v>
      </c>
    </row>
    <row r="18" spans="1:12">
      <c r="A18" t="s">
        <v>295</v>
      </c>
      <c r="B18" s="20">
        <f>Assumptions!$G$10</f>
        <v>169073</v>
      </c>
      <c r="C18" t="s">
        <v>151</v>
      </c>
      <c r="D18" t="s">
        <v>258</v>
      </c>
    </row>
    <row r="19" spans="1:12">
      <c r="A19" t="s">
        <v>296</v>
      </c>
      <c r="B19" s="20">
        <f>'Historical Financials'!$C$4</f>
        <v>83855</v>
      </c>
      <c r="C19" t="s">
        <v>151</v>
      </c>
      <c r="D19" t="s">
        <v>297</v>
      </c>
    </row>
    <row r="20" spans="1:12">
      <c r="A20" t="s">
        <v>298</v>
      </c>
      <c r="B20" s="20">
        <f>'Historical Financials'!$C$19</f>
        <v>10314</v>
      </c>
      <c r="C20" t="s">
        <v>151</v>
      </c>
      <c r="D20" t="s">
        <v>297</v>
      </c>
    </row>
    <row r="21" spans="1:12">
      <c r="A21" t="s">
        <v>299</v>
      </c>
      <c r="B21" s="20">
        <f>'Historical Financials'!$C$22</f>
        <v>12438</v>
      </c>
      <c r="C21" t="s">
        <v>151</v>
      </c>
      <c r="D21" t="s">
        <v>297</v>
      </c>
    </row>
    <row r="25" spans="1:12" ht="19.95" customHeight="1">
      <c r="F25" s="42" t="s">
        <v>300</v>
      </c>
      <c r="G25" s="42" t="s">
        <v>300</v>
      </c>
      <c r="H25" s="42" t="s">
        <v>300</v>
      </c>
      <c r="I25" s="42" t="s">
        <v>300</v>
      </c>
      <c r="J25" s="42" t="s">
        <v>300</v>
      </c>
      <c r="K25" s="42" t="s">
        <v>300</v>
      </c>
      <c r="L25" s="42" t="s">
        <v>300</v>
      </c>
    </row>
    <row r="26" spans="1:12">
      <c r="F26" s="7" t="s">
        <v>301</v>
      </c>
      <c r="G26" s="34">
        <v>3.5000000000000003E-2</v>
      </c>
      <c r="H26" s="34">
        <v>0.04</v>
      </c>
      <c r="I26" s="34">
        <v>4.4999999999999998E-2</v>
      </c>
      <c r="J26" s="7"/>
    </row>
    <row r="27" spans="1:12">
      <c r="F27" s="35">
        <v>0.1</v>
      </c>
      <c r="G27" s="36">
        <f>DCF!C38</f>
        <v>260.33415809527696</v>
      </c>
      <c r="H27" s="36">
        <f>DCF!D38</f>
        <v>277.37791423038112</v>
      </c>
      <c r="I27" s="36">
        <f>DCF!E38</f>
        <v>297.52053511732231</v>
      </c>
    </row>
    <row r="28" spans="1:12">
      <c r="F28" s="35">
        <v>0.105</v>
      </c>
      <c r="G28" s="36">
        <f>DCF!C39</f>
        <v>242.58205445500192</v>
      </c>
      <c r="H28" s="36">
        <f>DCF!D39</f>
        <v>256.92836245804426</v>
      </c>
      <c r="I28" s="36">
        <f>DCF!E39</f>
        <v>273.66572179492704</v>
      </c>
    </row>
    <row r="29" spans="1:12">
      <c r="F29" s="35">
        <v>0.115</v>
      </c>
      <c r="G29" s="36">
        <f>DCF!C41</f>
        <v>214.0136534619638</v>
      </c>
      <c r="H29" s="36">
        <f>DCF!D41</f>
        <v>224.50786802223342</v>
      </c>
      <c r="I29" s="36">
        <f>DCF!E41</f>
        <v>236.50125609111296</v>
      </c>
    </row>
    <row r="30" spans="1:12">
      <c r="F30" s="35">
        <v>0.12</v>
      </c>
      <c r="G30" s="36">
        <f>DCF!C42</f>
        <v>202.37597774968432</v>
      </c>
      <c r="H30" s="36">
        <f>DCF!D42</f>
        <v>211.47133277581423</v>
      </c>
      <c r="I30" s="36">
        <f>DCF!E42</f>
        <v>221.77940180542811</v>
      </c>
    </row>
    <row r="32" spans="1:12">
      <c r="F32" s="41" t="s">
        <v>302</v>
      </c>
      <c r="G32" s="41"/>
      <c r="H32" s="41"/>
      <c r="I32" s="41"/>
      <c r="J32" s="41"/>
      <c r="K32" s="41"/>
      <c r="L32" s="41"/>
    </row>
    <row r="33" spans="6:12">
      <c r="F33" s="41"/>
      <c r="G33" s="41"/>
      <c r="H33" s="41"/>
      <c r="I33" s="41"/>
      <c r="J33" s="41"/>
      <c r="K33" s="41"/>
      <c r="L33" s="41"/>
    </row>
    <row r="34" spans="6:12">
      <c r="F34" s="41"/>
      <c r="G34" s="41"/>
      <c r="H34" s="41"/>
      <c r="I34" s="41"/>
      <c r="J34" s="41"/>
      <c r="K34" s="41"/>
      <c r="L34" s="41"/>
    </row>
    <row r="35" spans="6:12">
      <c r="F35" s="41"/>
      <c r="G35" s="41"/>
      <c r="H35" s="41"/>
      <c r="I35" s="41"/>
      <c r="J35" s="41"/>
      <c r="K35" s="41"/>
      <c r="L35" s="41"/>
    </row>
  </sheetData>
  <mergeCells count="7">
    <mergeCell ref="F25:L25"/>
    <mergeCell ref="F32:L35"/>
    <mergeCell ref="A1:L1"/>
    <mergeCell ref="A3:L3"/>
    <mergeCell ref="A5:D5"/>
    <mergeCell ref="A15:D15"/>
    <mergeCell ref="F5:L5"/>
  </mergeCells>
  <conditionalFormatting sqref="B11">
    <cfRule type="colorScale" priority="1">
      <colorScale>
        <cfvo type="min"/>
        <cfvo type="percentile" val="50"/>
        <cfvo type="max"/>
        <color rgb="FFFECACA"/>
        <color rgb="FFFEF3C7"/>
        <color rgb="FFDCFCE7"/>
      </colorScale>
    </cfRule>
  </conditionalFormatting>
  <conditionalFormatting sqref="G27:I30">
    <cfRule type="colorScale" priority="2">
      <colorScale>
        <cfvo type="min"/>
        <cfvo type="percentile" val="50"/>
        <cfvo type="max"/>
        <color rgb="FFFECACA"/>
        <color rgb="FFFEF3C7"/>
        <color rgb="FFDCFCE7"/>
      </colorScale>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6"/>
  <sheetViews>
    <sheetView showGridLines="0" workbookViewId="0">
      <selection sqref="A1:F1"/>
    </sheetView>
  </sheetViews>
  <sheetFormatPr defaultRowHeight="13.8"/>
  <cols>
    <col min="1" max="1" width="18" customWidth="1"/>
    <col min="2" max="2" width="28" customWidth="1"/>
    <col min="3" max="3" width="42" customWidth="1"/>
    <col min="4" max="4" width="16" customWidth="1"/>
    <col min="5" max="5" width="55" customWidth="1"/>
    <col min="6" max="6" width="30" customWidth="1"/>
  </cols>
  <sheetData>
    <row r="1" spans="1:6" ht="28.05" customHeight="1">
      <c r="A1" s="37" t="s">
        <v>303</v>
      </c>
      <c r="B1" s="37" t="s">
        <v>303</v>
      </c>
      <c r="C1" s="37" t="s">
        <v>303</v>
      </c>
      <c r="D1" s="37" t="s">
        <v>303</v>
      </c>
      <c r="E1" s="37" t="s">
        <v>303</v>
      </c>
      <c r="F1" s="37" t="s">
        <v>303</v>
      </c>
    </row>
    <row r="3" spans="1:6">
      <c r="A3" s="7" t="s">
        <v>304</v>
      </c>
      <c r="B3" s="7" t="s">
        <v>305</v>
      </c>
      <c r="C3" s="7" t="s">
        <v>306</v>
      </c>
      <c r="D3" s="7" t="s">
        <v>307</v>
      </c>
      <c r="E3" s="7" t="s">
        <v>308</v>
      </c>
      <c r="F3" s="7" t="s">
        <v>309</v>
      </c>
    </row>
    <row r="4" spans="1:6" ht="27.6">
      <c r="A4" s="18" t="s">
        <v>310</v>
      </c>
      <c r="B4" s="18" t="s">
        <v>311</v>
      </c>
      <c r="C4" s="18" t="s">
        <v>312</v>
      </c>
      <c r="D4" s="18" t="s">
        <v>313</v>
      </c>
      <c r="E4" s="30" t="s">
        <v>314</v>
      </c>
      <c r="F4" s="18" t="s">
        <v>315</v>
      </c>
    </row>
    <row r="5" spans="1:6" ht="27.6">
      <c r="A5" s="18" t="s">
        <v>316</v>
      </c>
      <c r="B5" s="18" t="s">
        <v>311</v>
      </c>
      <c r="C5" s="18" t="s">
        <v>317</v>
      </c>
      <c r="D5" s="18" t="s">
        <v>318</v>
      </c>
      <c r="E5" s="30" t="s">
        <v>314</v>
      </c>
      <c r="F5" s="18" t="s">
        <v>319</v>
      </c>
    </row>
    <row r="6" spans="1:6" ht="27.6">
      <c r="A6" s="18" t="s">
        <v>320</v>
      </c>
      <c r="B6" s="18" t="s">
        <v>311</v>
      </c>
      <c r="C6" s="18" t="s">
        <v>321</v>
      </c>
      <c r="D6" s="18" t="s">
        <v>322</v>
      </c>
      <c r="E6" s="30" t="s">
        <v>314</v>
      </c>
      <c r="F6" s="18" t="s">
        <v>323</v>
      </c>
    </row>
    <row r="7" spans="1:6" ht="27.6">
      <c r="A7" s="18" t="s">
        <v>324</v>
      </c>
      <c r="B7" s="18" t="s">
        <v>311</v>
      </c>
      <c r="C7" s="18" t="s">
        <v>325</v>
      </c>
      <c r="D7" s="18" t="s">
        <v>326</v>
      </c>
      <c r="E7" s="30" t="s">
        <v>314</v>
      </c>
      <c r="F7" s="18" t="s">
        <v>327</v>
      </c>
    </row>
    <row r="8" spans="1:6" ht="27.6">
      <c r="A8" s="18" t="s">
        <v>328</v>
      </c>
      <c r="B8" s="18" t="s">
        <v>311</v>
      </c>
      <c r="C8" s="18" t="s">
        <v>329</v>
      </c>
      <c r="D8" s="18" t="s">
        <v>330</v>
      </c>
      <c r="E8" s="30" t="s">
        <v>314</v>
      </c>
      <c r="F8" s="18" t="s">
        <v>331</v>
      </c>
    </row>
    <row r="9" spans="1:6" ht="27.6">
      <c r="A9" s="18" t="s">
        <v>332</v>
      </c>
      <c r="B9" s="18" t="s">
        <v>311</v>
      </c>
      <c r="C9" s="18" t="s">
        <v>333</v>
      </c>
      <c r="D9" s="18" t="s">
        <v>334</v>
      </c>
      <c r="E9" s="30" t="s">
        <v>314</v>
      </c>
      <c r="F9" s="18" t="s">
        <v>335</v>
      </c>
    </row>
    <row r="10" spans="1:6" ht="27.6">
      <c r="A10" s="18" t="s">
        <v>336</v>
      </c>
      <c r="B10" s="18" t="s">
        <v>337</v>
      </c>
      <c r="C10" s="18" t="s">
        <v>338</v>
      </c>
      <c r="D10" s="18" t="s">
        <v>258</v>
      </c>
      <c r="E10" s="30" t="s">
        <v>339</v>
      </c>
      <c r="F10" s="18" t="s">
        <v>340</v>
      </c>
    </row>
    <row r="11" spans="1:6">
      <c r="A11" s="18" t="s">
        <v>341</v>
      </c>
      <c r="B11" s="18" t="s">
        <v>189</v>
      </c>
      <c r="C11" s="18" t="s">
        <v>342</v>
      </c>
      <c r="D11" s="18" t="s">
        <v>343</v>
      </c>
      <c r="E11" s="30" t="s">
        <v>344</v>
      </c>
      <c r="F11" s="18" t="s">
        <v>345</v>
      </c>
    </row>
    <row r="12" spans="1:6">
      <c r="A12" s="18" t="s">
        <v>346</v>
      </c>
      <c r="B12" s="18" t="s">
        <v>189</v>
      </c>
      <c r="C12" s="18" t="s">
        <v>347</v>
      </c>
      <c r="D12" s="18" t="s">
        <v>343</v>
      </c>
      <c r="E12" s="30" t="s">
        <v>348</v>
      </c>
      <c r="F12" s="18" t="s">
        <v>345</v>
      </c>
    </row>
    <row r="13" spans="1:6">
      <c r="A13" s="18" t="s">
        <v>349</v>
      </c>
      <c r="B13" s="18" t="s">
        <v>189</v>
      </c>
      <c r="C13" s="18" t="s">
        <v>350</v>
      </c>
      <c r="D13" s="18" t="s">
        <v>343</v>
      </c>
      <c r="E13" s="30" t="s">
        <v>351</v>
      </c>
      <c r="F13" s="18" t="s">
        <v>352</v>
      </c>
    </row>
    <row r="14" spans="1:6" ht="27.6">
      <c r="A14" s="18" t="s">
        <v>353</v>
      </c>
      <c r="B14" s="18" t="s">
        <v>189</v>
      </c>
      <c r="C14" s="18" t="s">
        <v>354</v>
      </c>
      <c r="D14" s="18" t="s">
        <v>343</v>
      </c>
      <c r="E14" s="30" t="s">
        <v>355</v>
      </c>
      <c r="F14" s="18" t="s">
        <v>356</v>
      </c>
    </row>
    <row r="15" spans="1:6" ht="27.6">
      <c r="A15" s="18" t="s">
        <v>357</v>
      </c>
      <c r="B15" s="18" t="s">
        <v>189</v>
      </c>
      <c r="C15" s="18" t="s">
        <v>358</v>
      </c>
      <c r="D15" s="18" t="s">
        <v>343</v>
      </c>
      <c r="E15" s="30" t="s">
        <v>359</v>
      </c>
      <c r="F15" s="18" t="s">
        <v>356</v>
      </c>
    </row>
    <row r="16" spans="1:6">
      <c r="A16" s="18" t="s">
        <v>360</v>
      </c>
      <c r="B16" s="18" t="s">
        <v>189</v>
      </c>
      <c r="C16" s="18" t="s">
        <v>361</v>
      </c>
      <c r="D16" s="18" t="s">
        <v>343</v>
      </c>
      <c r="E16" s="30" t="s">
        <v>362</v>
      </c>
      <c r="F16" s="18" t="s">
        <v>356</v>
      </c>
    </row>
  </sheetData>
  <mergeCells count="1">
    <mergeCell ref="A1:F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9"/>
  <sheetViews>
    <sheetView showGridLines="0" workbookViewId="0">
      <selection sqref="A1:F1"/>
    </sheetView>
  </sheetViews>
  <sheetFormatPr defaultRowHeight="13.8"/>
  <cols>
    <col min="1" max="1" width="28" customWidth="1"/>
    <col min="2" max="3" width="16" customWidth="1"/>
    <col min="4" max="4" width="12" customWidth="1"/>
    <col min="5" max="5" width="28" customWidth="1"/>
    <col min="6" max="6" width="34" customWidth="1"/>
  </cols>
  <sheetData>
    <row r="1" spans="1:6" ht="28.05" customHeight="1">
      <c r="A1" s="37" t="s">
        <v>363</v>
      </c>
      <c r="B1" s="37" t="s">
        <v>363</v>
      </c>
      <c r="C1" s="37" t="s">
        <v>363</v>
      </c>
      <c r="D1" s="37" t="s">
        <v>363</v>
      </c>
      <c r="E1" s="37" t="s">
        <v>363</v>
      </c>
      <c r="F1" s="37" t="s">
        <v>363</v>
      </c>
    </row>
    <row r="3" spans="1:6">
      <c r="A3" s="7" t="s">
        <v>364</v>
      </c>
      <c r="B3" s="7" t="s">
        <v>365</v>
      </c>
      <c r="C3" s="7" t="s">
        <v>366</v>
      </c>
      <c r="D3" s="7" t="s">
        <v>367</v>
      </c>
      <c r="E3" s="7" t="s">
        <v>368</v>
      </c>
      <c r="F3" s="7" t="s">
        <v>65</v>
      </c>
    </row>
    <row r="4" spans="1:6">
      <c r="A4" t="s">
        <v>369</v>
      </c>
      <c r="B4" s="20">
        <f>'Historical Financials'!C32-'Historical Financials'!C32</f>
        <v>0</v>
      </c>
      <c r="C4">
        <v>0</v>
      </c>
      <c r="D4" t="str">
        <f>IF(B4=C4,"OK","CHECK")</f>
        <v>OK</v>
      </c>
      <c r="E4" t="s">
        <v>370</v>
      </c>
      <c r="F4" t="s">
        <v>371</v>
      </c>
    </row>
    <row r="5" spans="1:6">
      <c r="A5" t="s">
        <v>372</v>
      </c>
      <c r="B5" s="20">
        <f>DCF!B27-SUM(DCF!B22,DCF!B26)</f>
        <v>0</v>
      </c>
      <c r="C5">
        <v>0</v>
      </c>
      <c r="D5" t="str">
        <f>IF(ABS(B5-C5)&lt;0.1,"OK","CHECK")</f>
        <v>OK</v>
      </c>
      <c r="E5" t="s">
        <v>78</v>
      </c>
      <c r="F5" t="s">
        <v>373</v>
      </c>
    </row>
    <row r="6" spans="1:6">
      <c r="A6" t="s">
        <v>374</v>
      </c>
      <c r="B6" s="20">
        <f>DCF!B29-SUM(DCF!B27,DCF!B28)</f>
        <v>0</v>
      </c>
      <c r="C6">
        <v>0</v>
      </c>
      <c r="D6" t="str">
        <f>IF(ABS(B6-C6)&lt;0.1,"OK","CHECK")</f>
        <v>OK</v>
      </c>
      <c r="E6" t="s">
        <v>78</v>
      </c>
      <c r="F6" t="s">
        <v>375</v>
      </c>
    </row>
    <row r="7" spans="1:6">
      <c r="A7" t="s">
        <v>376</v>
      </c>
      <c r="B7" s="16">
        <f>'Trading Comps'!D22</f>
        <v>1</v>
      </c>
      <c r="C7">
        <v>1</v>
      </c>
      <c r="D7" t="str">
        <f>IF(ABS(B7-C7)&lt;0.001,"OK","CHECK")</f>
        <v>OK</v>
      </c>
      <c r="E7" t="s">
        <v>280</v>
      </c>
      <c r="F7" t="s">
        <v>377</v>
      </c>
    </row>
    <row r="8" spans="1:6">
      <c r="A8" t="s">
        <v>378</v>
      </c>
      <c r="B8" s="31">
        <f>Assumptions!G9</f>
        <v>368</v>
      </c>
      <c r="C8">
        <v>368</v>
      </c>
      <c r="D8" t="str">
        <f>IF(ABS(B8-C8)&lt;0.1,"OK","CHECK")</f>
        <v>OK</v>
      </c>
      <c r="E8" t="s">
        <v>379</v>
      </c>
      <c r="F8" t="s">
        <v>380</v>
      </c>
    </row>
    <row r="9" spans="1:6">
      <c r="A9" t="s">
        <v>381</v>
      </c>
      <c r="B9" s="20">
        <f>'Valuation Dashboard'!B11-AVERAGE('Valuation Dashboard'!B8,'Valuation Dashboard'!B9)</f>
        <v>0</v>
      </c>
      <c r="C9">
        <v>0</v>
      </c>
      <c r="D9" t="str">
        <f>IF(ABS(B9-C9)&lt;0.1,"OK","CHECK")</f>
        <v>OK</v>
      </c>
      <c r="E9" t="s">
        <v>382</v>
      </c>
      <c r="F9" t="s">
        <v>383</v>
      </c>
    </row>
  </sheetData>
  <mergeCells count="1">
    <mergeCell ref="A1:F1"/>
  </mergeCells>
  <conditionalFormatting sqref="D4:D9">
    <cfRule type="expression" dxfId="1" priority="1">
      <formula>D4="OK"</formula>
    </cfRule>
    <cfRule type="expression" dxfId="0" priority="2">
      <formula>D4="CHECK"</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vt:lpstr>
      <vt:lpstr>Assumptions</vt:lpstr>
      <vt:lpstr>Historical Financials</vt:lpstr>
      <vt:lpstr>DCF</vt:lpstr>
      <vt:lpstr>Trading Comps</vt:lpstr>
      <vt:lpstr>Precedent Transactions</vt:lpstr>
      <vt:lpstr>Investment Simulation</vt:lpstr>
      <vt:lpstr>Valuation Dashboard</vt:lpstr>
      <vt:lpstr>Sources</vt:lpstr>
      <vt:lpstr>Model 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SANDEEP SINGH</cp:lastModifiedBy>
  <dcterms:modified xsi:type="dcterms:W3CDTF">2026-09-08T05:50:02Z</dcterms:modified>
</cp:coreProperties>
</file>