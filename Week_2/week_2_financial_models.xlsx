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3BD86BA-A5AB-4D37-8167-FEE7C80BAC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Assumptions" sheetId="2" r:id="rId2"/>
    <sheet name="Historical" sheetId="3" r:id="rId3"/>
    <sheet name="Forecast IS" sheetId="4" r:id="rId4"/>
    <sheet name="Forecast BS" sheetId="5" r:id="rId5"/>
    <sheet name="Forecast CF" sheetId="6" r:id="rId6"/>
    <sheet name="M&amp;A Model" sheetId="7" r:id="rId7"/>
    <sheet name="Dashboard" sheetId="8" r:id="rId8"/>
    <sheet name="Sources" sheetId="9" r:id="rId9"/>
    <sheet name="Raw Data" sheetId="10" r:id="rId10"/>
    <sheet name="Worked Examples" sheetId="11" r:id="rId11"/>
    <sheet name="Model Checks" sheetId="12" r:id="rId12"/>
    <sheet name="Limitations &amp; Action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2" l="1"/>
  <c r="D6" i="12"/>
  <c r="E5" i="12"/>
  <c r="D5" i="12"/>
  <c r="D4" i="12"/>
  <c r="E4" i="12" s="1"/>
  <c r="D30" i="11"/>
  <c r="C30" i="11"/>
  <c r="B30" i="11"/>
  <c r="D29" i="11"/>
  <c r="C29" i="11"/>
  <c r="B29" i="11"/>
  <c r="D28" i="11"/>
  <c r="C28" i="11"/>
  <c r="B28" i="11"/>
  <c r="E22" i="11"/>
  <c r="F22" i="11" s="1"/>
  <c r="D11" i="11"/>
  <c r="D7" i="11"/>
  <c r="D5" i="11"/>
  <c r="D4" i="11"/>
  <c r="D57" i="8"/>
  <c r="E57" i="8" s="1"/>
  <c r="D56" i="8"/>
  <c r="E56" i="8" s="1"/>
  <c r="D55" i="8"/>
  <c r="E55" i="8" s="1"/>
  <c r="F30" i="8"/>
  <c r="B24" i="8"/>
  <c r="B23" i="8"/>
  <c r="B9" i="8"/>
  <c r="K5" i="8"/>
  <c r="K4" i="8"/>
  <c r="K3" i="8"/>
  <c r="B22" i="7"/>
  <c r="D21" i="7"/>
  <c r="B21" i="7"/>
  <c r="G20" i="7"/>
  <c r="F20" i="7"/>
  <c r="E20" i="7"/>
  <c r="D20" i="7"/>
  <c r="B20" i="7"/>
  <c r="G19" i="7"/>
  <c r="F19" i="7"/>
  <c r="E19" i="7"/>
  <c r="D19" i="7"/>
  <c r="B19" i="7"/>
  <c r="G18" i="7"/>
  <c r="F18" i="7"/>
  <c r="E18" i="7"/>
  <c r="D18" i="7"/>
  <c r="B18" i="7"/>
  <c r="B17" i="7"/>
  <c r="G16" i="7"/>
  <c r="F16" i="7"/>
  <c r="E16" i="7"/>
  <c r="D30" i="8" s="1"/>
  <c r="D16" i="7"/>
  <c r="D7" i="6" s="1"/>
  <c r="B16" i="7"/>
  <c r="B15" i="7"/>
  <c r="B14" i="7"/>
  <c r="B13" i="7"/>
  <c r="F12" i="7"/>
  <c r="F14" i="7" s="1"/>
  <c r="B12" i="7"/>
  <c r="F11" i="7"/>
  <c r="F13" i="7" s="1"/>
  <c r="F14" i="4" s="1"/>
  <c r="B11" i="7"/>
  <c r="B10" i="7"/>
  <c r="G9" i="7"/>
  <c r="F9" i="7"/>
  <c r="E9" i="7"/>
  <c r="D9" i="7"/>
  <c r="C9" i="7"/>
  <c r="B9" i="7"/>
  <c r="B8" i="7"/>
  <c r="G7" i="7"/>
  <c r="F7" i="7"/>
  <c r="E7" i="7"/>
  <c r="D7" i="7"/>
  <c r="B7" i="7"/>
  <c r="G6" i="7"/>
  <c r="F6" i="7"/>
  <c r="E6" i="7"/>
  <c r="D6" i="7"/>
  <c r="B6" i="7"/>
  <c r="G5" i="7"/>
  <c r="F5" i="7"/>
  <c r="E5" i="7"/>
  <c r="D5" i="7"/>
  <c r="C5" i="7"/>
  <c r="B5" i="7"/>
  <c r="G4" i="7"/>
  <c r="F4" i="7"/>
  <c r="E4" i="7"/>
  <c r="D4" i="7"/>
  <c r="B4" i="7"/>
  <c r="B20" i="6"/>
  <c r="B8" i="8" s="1"/>
  <c r="B19" i="6"/>
  <c r="C18" i="6"/>
  <c r="B18" i="6"/>
  <c r="B17" i="6"/>
  <c r="B16" i="6"/>
  <c r="B15" i="6"/>
  <c r="B14" i="6"/>
  <c r="G13" i="6"/>
  <c r="F13" i="6"/>
  <c r="E13" i="6"/>
  <c r="D13" i="6"/>
  <c r="B13" i="6"/>
  <c r="G12" i="6"/>
  <c r="F12" i="6"/>
  <c r="E12" i="6"/>
  <c r="D12" i="6"/>
  <c r="B12" i="6"/>
  <c r="B11" i="6"/>
  <c r="G10" i="6"/>
  <c r="F10" i="6"/>
  <c r="E10" i="6"/>
  <c r="D10" i="6"/>
  <c r="B10" i="6"/>
  <c r="B9" i="6"/>
  <c r="B8" i="6"/>
  <c r="G7" i="6"/>
  <c r="F7" i="6"/>
  <c r="E7" i="6"/>
  <c r="B7" i="6"/>
  <c r="B6" i="6"/>
  <c r="B5" i="6"/>
  <c r="B4" i="6"/>
  <c r="B19" i="5"/>
  <c r="B16" i="5"/>
  <c r="B15" i="5"/>
  <c r="C15" i="5" s="1"/>
  <c r="D15" i="5" s="1"/>
  <c r="E15" i="5" s="1"/>
  <c r="F15" i="5" s="1"/>
  <c r="G15" i="5" s="1"/>
  <c r="B14" i="5"/>
  <c r="B10" i="8" s="1"/>
  <c r="G12" i="5"/>
  <c r="F12" i="5"/>
  <c r="E12" i="5"/>
  <c r="D12" i="5"/>
  <c r="B12" i="5"/>
  <c r="B11" i="5"/>
  <c r="B10" i="5"/>
  <c r="B9" i="5"/>
  <c r="B8" i="5"/>
  <c r="B7" i="5"/>
  <c r="B6" i="5"/>
  <c r="B5" i="5"/>
  <c r="B4" i="5"/>
  <c r="B22" i="4"/>
  <c r="B21" i="4"/>
  <c r="B20" i="4"/>
  <c r="G19" i="4"/>
  <c r="E19" i="4"/>
  <c r="D19" i="4"/>
  <c r="B19" i="4"/>
  <c r="G18" i="4"/>
  <c r="F18" i="4"/>
  <c r="E18" i="4"/>
  <c r="D18" i="4"/>
  <c r="C18" i="4"/>
  <c r="B18" i="4"/>
  <c r="B17" i="4"/>
  <c r="B14" i="4"/>
  <c r="B13" i="4"/>
  <c r="B15" i="4" s="1"/>
  <c r="B10" i="4"/>
  <c r="F9" i="4"/>
  <c r="B9" i="4"/>
  <c r="B8" i="4"/>
  <c r="B11" i="4" s="1"/>
  <c r="B6" i="4"/>
  <c r="D5" i="4"/>
  <c r="B4" i="4"/>
  <c r="E29" i="2"/>
  <c r="E21" i="11" s="1"/>
  <c r="F21" i="11" s="1"/>
  <c r="E28" i="2"/>
  <c r="E27" i="2"/>
  <c r="C16" i="7" s="1"/>
  <c r="E26" i="2"/>
  <c r="E25" i="2"/>
  <c r="E24" i="2"/>
  <c r="E23" i="2"/>
  <c r="E22" i="2"/>
  <c r="E21" i="2"/>
  <c r="E20" i="2"/>
  <c r="E19" i="2"/>
  <c r="E18" i="2"/>
  <c r="E17" i="2"/>
  <c r="E16" i="2"/>
  <c r="E15" i="2"/>
  <c r="D9" i="11" s="1"/>
  <c r="E11" i="2"/>
  <c r="E10" i="2"/>
  <c r="E9" i="2"/>
  <c r="E8" i="2"/>
  <c r="E7" i="2"/>
  <c r="E6" i="2"/>
  <c r="E5" i="2"/>
  <c r="E4" i="2"/>
  <c r="C4" i="4" s="1"/>
  <c r="E28" i="8" l="1"/>
  <c r="F11" i="5"/>
  <c r="G11" i="5"/>
  <c r="E11" i="5"/>
  <c r="C11" i="5"/>
  <c r="D11" i="5"/>
  <c r="G6" i="5"/>
  <c r="E6" i="5"/>
  <c r="C7" i="6"/>
  <c r="B30" i="8"/>
  <c r="C19" i="4"/>
  <c r="C13" i="4"/>
  <c r="D4" i="4"/>
  <c r="B13" i="5"/>
  <c r="B23" i="4"/>
  <c r="D10" i="11"/>
  <c r="D12" i="11" s="1"/>
  <c r="E15" i="7"/>
  <c r="G15" i="7"/>
  <c r="F15" i="7"/>
  <c r="D15" i="7"/>
  <c r="C15" i="7"/>
  <c r="C6" i="5"/>
  <c r="D6" i="5"/>
  <c r="F6" i="5"/>
  <c r="E30" i="8"/>
  <c r="F19" i="4"/>
  <c r="B7" i="8"/>
  <c r="B7" i="4"/>
  <c r="B16" i="4"/>
  <c r="B22" i="8"/>
  <c r="B5" i="8"/>
  <c r="C8" i="4"/>
  <c r="C11" i="7"/>
  <c r="D11" i="7"/>
  <c r="C12" i="5"/>
  <c r="C6" i="7"/>
  <c r="C20" i="7"/>
  <c r="J56" i="8"/>
  <c r="E11" i="7"/>
  <c r="C7" i="7"/>
  <c r="C13" i="6" s="1"/>
  <c r="G11" i="7"/>
  <c r="C21" i="7"/>
  <c r="D6" i="11"/>
  <c r="E21" i="7"/>
  <c r="D8" i="11"/>
  <c r="F21" i="7"/>
  <c r="G21" i="7"/>
  <c r="C4" i="7"/>
  <c r="C18" i="7"/>
  <c r="C30" i="8"/>
  <c r="F6" i="4"/>
  <c r="E20" i="11"/>
  <c r="F20" i="11" s="1"/>
  <c r="C29" i="8" l="1"/>
  <c r="D10" i="4"/>
  <c r="C12" i="6"/>
  <c r="C8" i="7"/>
  <c r="D13" i="7"/>
  <c r="D14" i="4" s="1"/>
  <c r="D6" i="4"/>
  <c r="D12" i="7"/>
  <c r="B17" i="5"/>
  <c r="B18" i="5" s="1"/>
  <c r="B20" i="5"/>
  <c r="E5" i="4"/>
  <c r="E4" i="4"/>
  <c r="D13" i="4"/>
  <c r="D15" i="4" s="1"/>
  <c r="D5" i="6" s="1"/>
  <c r="D8" i="4"/>
  <c r="D7" i="4"/>
  <c r="B4" i="8"/>
  <c r="C8" i="5"/>
  <c r="B21" i="8"/>
  <c r="D8" i="5"/>
  <c r="C10" i="6"/>
  <c r="C19" i="7"/>
  <c r="C10" i="5"/>
  <c r="D7" i="12"/>
  <c r="E7" i="12" s="1"/>
  <c r="E6" i="4"/>
  <c r="E13" i="7"/>
  <c r="E14" i="4" s="1"/>
  <c r="E12" i="7"/>
  <c r="E29" i="8"/>
  <c r="F10" i="4"/>
  <c r="F29" i="8"/>
  <c r="G10" i="4"/>
  <c r="D29" i="8"/>
  <c r="E10" i="4"/>
  <c r="D14" i="11"/>
  <c r="C6" i="4"/>
  <c r="C7" i="4" s="1"/>
  <c r="C13" i="7"/>
  <c r="C14" i="4" s="1"/>
  <c r="C15" i="4" s="1"/>
  <c r="C12" i="7"/>
  <c r="G13" i="7"/>
  <c r="G14" i="4" s="1"/>
  <c r="G6" i="4"/>
  <c r="G12" i="7"/>
  <c r="C10" i="4"/>
  <c r="B29" i="8"/>
  <c r="B12" i="4"/>
  <c r="B6" i="8" s="1"/>
  <c r="C5" i="6" l="1"/>
  <c r="C9" i="4"/>
  <c r="C11" i="4" s="1"/>
  <c r="C14" i="7"/>
  <c r="D21" i="8"/>
  <c r="D9" i="6"/>
  <c r="D11" i="6" s="1"/>
  <c r="D16" i="5"/>
  <c r="D4" i="8"/>
  <c r="D10" i="5"/>
  <c r="C21" i="8"/>
  <c r="C9" i="6"/>
  <c r="C11" i="6" s="1"/>
  <c r="C16" i="5"/>
  <c r="C4" i="8"/>
  <c r="C5" i="5"/>
  <c r="D5" i="5" s="1"/>
  <c r="C7" i="5"/>
  <c r="F5" i="4"/>
  <c r="E13" i="4"/>
  <c r="E15" i="4" s="1"/>
  <c r="E5" i="6" s="1"/>
  <c r="E8" i="4"/>
  <c r="E7" i="4"/>
  <c r="F4" i="4"/>
  <c r="D9" i="4"/>
  <c r="D11" i="4" s="1"/>
  <c r="D14" i="7"/>
  <c r="E9" i="4"/>
  <c r="E14" i="7"/>
  <c r="D8" i="7"/>
  <c r="C14" i="5"/>
  <c r="C10" i="7"/>
  <c r="G9" i="4"/>
  <c r="G14" i="7"/>
  <c r="D16" i="4" l="1"/>
  <c r="D22" i="8"/>
  <c r="D5" i="8"/>
  <c r="D12" i="4"/>
  <c r="D6" i="8" s="1"/>
  <c r="E21" i="8"/>
  <c r="E16" i="5"/>
  <c r="E9" i="6"/>
  <c r="E11" i="6" s="1"/>
  <c r="E4" i="8"/>
  <c r="E8" i="5"/>
  <c r="E10" i="5"/>
  <c r="C17" i="7"/>
  <c r="B28" i="8"/>
  <c r="C10" i="8"/>
  <c r="D28" i="8"/>
  <c r="G5" i="4"/>
  <c r="G4" i="4"/>
  <c r="F13" i="4"/>
  <c r="F15" i="4" s="1"/>
  <c r="F5" i="6" s="1"/>
  <c r="F8" i="4"/>
  <c r="F11" i="4" s="1"/>
  <c r="F7" i="4"/>
  <c r="E5" i="5"/>
  <c r="C4" i="5"/>
  <c r="B31" i="8"/>
  <c r="C14" i="6"/>
  <c r="C17" i="4"/>
  <c r="E8" i="7"/>
  <c r="D14" i="5"/>
  <c r="D10" i="7"/>
  <c r="D17" i="7" s="1"/>
  <c r="D13" i="11"/>
  <c r="C28" i="8"/>
  <c r="E11" i="4"/>
  <c r="D7" i="5"/>
  <c r="D6" i="6"/>
  <c r="C6" i="6"/>
  <c r="C22" i="8"/>
  <c r="C16" i="4"/>
  <c r="C5" i="8"/>
  <c r="C12" i="4"/>
  <c r="C6" i="8" s="1"/>
  <c r="F28" i="8"/>
  <c r="F8" i="7" l="1"/>
  <c r="E14" i="5"/>
  <c r="E10" i="7"/>
  <c r="D4" i="5"/>
  <c r="G13" i="4"/>
  <c r="G15" i="4" s="1"/>
  <c r="G5" i="6" s="1"/>
  <c r="G8" i="4"/>
  <c r="G11" i="4" s="1"/>
  <c r="G7" i="4"/>
  <c r="D10" i="8"/>
  <c r="F5" i="5"/>
  <c r="G5" i="5" s="1"/>
  <c r="F22" i="8"/>
  <c r="F5" i="8"/>
  <c r="F16" i="4"/>
  <c r="F12" i="4"/>
  <c r="F6" i="8" s="1"/>
  <c r="C20" i="4"/>
  <c r="E7" i="5"/>
  <c r="E16" i="4"/>
  <c r="E22" i="8"/>
  <c r="E5" i="8"/>
  <c r="E12" i="4"/>
  <c r="E6" i="8" s="1"/>
  <c r="F9" i="6"/>
  <c r="F11" i="6" s="1"/>
  <c r="F16" i="5"/>
  <c r="F4" i="8"/>
  <c r="F21" i="8"/>
  <c r="F8" i="5"/>
  <c r="F10" i="5"/>
  <c r="D14" i="6"/>
  <c r="D17" i="4"/>
  <c r="D20" i="4" s="1"/>
  <c r="C31" i="8"/>
  <c r="D22" i="4" l="1"/>
  <c r="D21" i="4"/>
  <c r="F7" i="5"/>
  <c r="F14" i="5"/>
  <c r="D10" i="12"/>
  <c r="E10" i="12" s="1"/>
  <c r="G8" i="7"/>
  <c r="F10" i="7"/>
  <c r="E20" i="4"/>
  <c r="E6" i="6"/>
  <c r="C21" i="4"/>
  <c r="C22" i="4" s="1"/>
  <c r="G21" i="8"/>
  <c r="G9" i="6"/>
  <c r="G11" i="6" s="1"/>
  <c r="G16" i="5"/>
  <c r="G4" i="8"/>
  <c r="G8" i="5"/>
  <c r="G10" i="5"/>
  <c r="G22" i="8"/>
  <c r="G5" i="8"/>
  <c r="G16" i="4"/>
  <c r="G12" i="4"/>
  <c r="G6" i="8" s="1"/>
  <c r="E4" i="5"/>
  <c r="E14" i="6"/>
  <c r="E17" i="4"/>
  <c r="D31" i="8"/>
  <c r="E17" i="7"/>
  <c r="E10" i="8"/>
  <c r="C7" i="8" l="1"/>
  <c r="C15" i="6"/>
  <c r="C16" i="6" s="1"/>
  <c r="C23" i="4"/>
  <c r="C4" i="6"/>
  <c r="C8" i="6" s="1"/>
  <c r="C23" i="8"/>
  <c r="C19" i="5"/>
  <c r="F4" i="5"/>
  <c r="E21" i="4"/>
  <c r="E22" i="4" s="1"/>
  <c r="F14" i="6"/>
  <c r="F17" i="4"/>
  <c r="F20" i="4" s="1"/>
  <c r="E31" i="8"/>
  <c r="F17" i="7"/>
  <c r="D7" i="8"/>
  <c r="D15" i="6"/>
  <c r="D16" i="6" s="1"/>
  <c r="D4" i="6"/>
  <c r="D8" i="6" s="1"/>
  <c r="D23" i="4"/>
  <c r="D23" i="8"/>
  <c r="G14" i="5"/>
  <c r="G10" i="7"/>
  <c r="F10" i="8"/>
  <c r="G6" i="6"/>
  <c r="G7" i="5"/>
  <c r="F6" i="6"/>
  <c r="E7" i="8" l="1"/>
  <c r="E15" i="6"/>
  <c r="E16" i="6" s="1"/>
  <c r="E23" i="4"/>
  <c r="E4" i="6"/>
  <c r="E8" i="6" s="1"/>
  <c r="E23" i="8"/>
  <c r="G14" i="6"/>
  <c r="G17" i="4"/>
  <c r="G20" i="4" s="1"/>
  <c r="F31" i="8"/>
  <c r="G17" i="7"/>
  <c r="G10" i="8"/>
  <c r="D17" i="6"/>
  <c r="D20" i="6"/>
  <c r="D8" i="8" s="1"/>
  <c r="F21" i="4"/>
  <c r="F22" i="4" s="1"/>
  <c r="G4" i="5"/>
  <c r="D19" i="5"/>
  <c r="E19" i="5" s="1"/>
  <c r="C20" i="6"/>
  <c r="C8" i="8" s="1"/>
  <c r="C17" i="6"/>
  <c r="C19" i="6" s="1"/>
  <c r="F7" i="8" l="1"/>
  <c r="F4" i="6"/>
  <c r="F8" i="6" s="1"/>
  <c r="F23" i="8"/>
  <c r="F15" i="6"/>
  <c r="F16" i="6" s="1"/>
  <c r="F23" i="4"/>
  <c r="C22" i="7"/>
  <c r="D11" i="12"/>
  <c r="E11" i="12" s="1"/>
  <c r="D9" i="12"/>
  <c r="C9" i="5"/>
  <c r="C13" i="5" s="1"/>
  <c r="D18" i="6"/>
  <c r="D19" i="6" s="1"/>
  <c r="J55" i="8"/>
  <c r="C9" i="8"/>
  <c r="C24" i="8"/>
  <c r="F19" i="5"/>
  <c r="G21" i="4"/>
  <c r="G22" i="4" s="1"/>
  <c r="E20" i="6"/>
  <c r="E8" i="8" s="1"/>
  <c r="E17" i="6"/>
  <c r="G15" i="6" l="1"/>
  <c r="G16" i="6" s="1"/>
  <c r="G7" i="8"/>
  <c r="G23" i="4"/>
  <c r="G4" i="6"/>
  <c r="G8" i="6" s="1"/>
  <c r="G23" i="8"/>
  <c r="G19" i="5"/>
  <c r="E18" i="6"/>
  <c r="E19" i="6" s="1"/>
  <c r="D24" i="8"/>
  <c r="D9" i="8"/>
  <c r="D9" i="5"/>
  <c r="D13" i="5" s="1"/>
  <c r="D22" i="7"/>
  <c r="C17" i="5"/>
  <c r="C18" i="5" s="1"/>
  <c r="C20" i="5"/>
  <c r="E9" i="12"/>
  <c r="D12" i="12"/>
  <c r="E12" i="12" s="1"/>
  <c r="J57" i="8"/>
  <c r="F20" i="6"/>
  <c r="F8" i="8" s="1"/>
  <c r="F17" i="6"/>
  <c r="D8" i="12" l="1"/>
  <c r="E8" i="12" s="1"/>
  <c r="K6" i="8"/>
  <c r="D17" i="5"/>
  <c r="D18" i="5" s="1"/>
  <c r="D20" i="5"/>
  <c r="E9" i="5"/>
  <c r="E13" i="5" s="1"/>
  <c r="F18" i="6"/>
  <c r="F19" i="6" s="1"/>
  <c r="E24" i="8"/>
  <c r="E9" i="8"/>
  <c r="E22" i="7"/>
  <c r="G20" i="6"/>
  <c r="G8" i="8" s="1"/>
  <c r="G17" i="6"/>
  <c r="F9" i="5" l="1"/>
  <c r="F13" i="5" s="1"/>
  <c r="F9" i="8"/>
  <c r="G18" i="6"/>
  <c r="G19" i="6" s="1"/>
  <c r="F24" i="8"/>
  <c r="F22" i="7"/>
  <c r="E17" i="5"/>
  <c r="E18" i="5" s="1"/>
  <c r="E20" i="5"/>
  <c r="G9" i="5" l="1"/>
  <c r="G13" i="5" s="1"/>
  <c r="G9" i="8"/>
  <c r="G24" i="8"/>
  <c r="G22" i="7"/>
  <c r="F17" i="5"/>
  <c r="F18" i="5" s="1"/>
  <c r="F20" i="5" s="1"/>
  <c r="G17" i="5" l="1"/>
  <c r="G18" i="5" s="1"/>
  <c r="G20" i="5"/>
</calcChain>
</file>

<file path=xl/sharedStrings.xml><?xml version="1.0" encoding="utf-8"?>
<sst xmlns="http://schemas.openxmlformats.org/spreadsheetml/2006/main" count="988" uniqueCount="529">
  <si>
    <t>Model Purpose</t>
  </si>
  <si>
    <t>Three-statement forecast + M&amp;A / financing scenario model</t>
  </si>
  <si>
    <t>Model note: FY26 historical inputs are taken from the uploaded Tata Motors FY2025-26 Integrated Annual Report. Iveco operating assumptions beyond disclosed revenue and purchase consideration are explicit model assumptions and are separated from source-derived data.</t>
  </si>
  <si>
    <t>Company</t>
  </si>
  <si>
    <t>Tata Motors Limited (Commercial Vehicles)</t>
  </si>
  <si>
    <t>Base Period</t>
  </si>
  <si>
    <t>FY26A (year ended March 31, 2026)</t>
  </si>
  <si>
    <t>Forecast Period</t>
  </si>
  <si>
    <t>FY27E–FY31E</t>
  </si>
  <si>
    <t>Transaction</t>
  </si>
  <si>
    <t>Proposed acquisition of Iveco Group N.V. (excluding Defence business)</t>
  </si>
  <si>
    <t>Model Units</t>
  </si>
  <si>
    <t>₹ crore, except % / multiples</t>
  </si>
  <si>
    <t>Primary Source</t>
  </si>
  <si>
    <t>Tata Motors Integrated Annual Report FY2025-26</t>
  </si>
  <si>
    <t>ASSUMPTIONS &amp; SCENARIO CONTROL PANEL</t>
  </si>
  <si>
    <t>Operating assumptions</t>
  </si>
  <si>
    <t>Base Case</t>
  </si>
  <si>
    <t>Downside</t>
  </si>
  <si>
    <t>Upside</t>
  </si>
  <si>
    <t>Selected</t>
  </si>
  <si>
    <t>Units</t>
  </si>
  <si>
    <t>Source / Note</t>
  </si>
  <si>
    <t>Input Type</t>
  </si>
  <si>
    <t>Scenario Selector</t>
  </si>
  <si>
    <t>Revenue growth</t>
  </si>
  <si>
    <t>%</t>
  </si>
  <si>
    <t>Model assumption based on FY26 performance / outlook</t>
  </si>
  <si>
    <t>Assumption</t>
  </si>
  <si>
    <t>Active scenario</t>
  </si>
  <si>
    <t>Base</t>
  </si>
  <si>
    <t>EBITDA margin</t>
  </si>
  <si>
    <t>Base anchored near disclosed 12.3% FY26 underlying EBITDA margin</t>
  </si>
  <si>
    <t>Source + assumption</t>
  </si>
  <si>
    <t>Tax rate</t>
  </si>
  <si>
    <t>Model assumption</t>
  </si>
  <si>
    <t>D&amp;A / Revenue</t>
  </si>
  <si>
    <t>Approx. FY26 D&amp;A / revenue; forward assumption</t>
  </si>
  <si>
    <t>Capex / Revenue</t>
  </si>
  <si>
    <t>NWC as % Revenue</t>
  </si>
  <si>
    <t>Simplified operating working-capital driver</t>
  </si>
  <si>
    <t>Dividend payout</t>
  </si>
  <si>
    <t>Model assumption; FY26 Board recommended ₹4/share</t>
  </si>
  <si>
    <t>Minimum cash</t>
  </si>
  <si>
    <t>₹ crore</t>
  </si>
  <si>
    <t>Liquidity floor — model assumption</t>
  </si>
  <si>
    <t>Intangible additions / Revenue</t>
  </si>
  <si>
    <t>Model assumption for simplified forecast</t>
  </si>
  <si>
    <t>M&amp;A / Iveco assumptions</t>
  </si>
  <si>
    <t>Iveco FY25 revenue</t>
  </si>
  <si>
    <t>Tata Motors disclosed 2025 Iveco revenue of €13.4bn; ₹/€ conversion is a modeling assumption</t>
  </si>
  <si>
    <t>M&amp;A scenario selector</t>
  </si>
  <si>
    <t>Iveco revenue growth</t>
  </si>
  <si>
    <t>Active M&amp;A scenario</t>
  </si>
  <si>
    <t>Iveco EBITDA margin</t>
  </si>
  <si>
    <t>Model assumption (not disclosed in uploaded file)</t>
  </si>
  <si>
    <t>Iveco D&amp;A / Revenue</t>
  </si>
  <si>
    <t>Iveco tax rate</t>
  </si>
  <si>
    <t>Iveco capex / Revenue</t>
  </si>
  <si>
    <t>FY27 contribution factor</t>
  </si>
  <si>
    <t>Deal expected to complete in Q2 FY27; contribution factor is a modeling assumption</t>
  </si>
  <si>
    <t>Annual synergy run-rate</t>
  </si>
  <si>
    <t>Model assumption for procurement / overhead synergies</t>
  </si>
  <si>
    <t>Synergy ramp FY27</t>
  </si>
  <si>
    <t>Synergy ramp FY28</t>
  </si>
  <si>
    <t>Synergy ramp FY29</t>
  </si>
  <si>
    <t>Synergy ramp FY30+</t>
  </si>
  <si>
    <t>Integration costs FY27</t>
  </si>
  <si>
    <t>One-time integration assumption</t>
  </si>
  <si>
    <t>Integration costs FY28</t>
  </si>
  <si>
    <t>Purchase consideration</t>
  </si>
  <si>
    <t>Approx. ₹41,691 cr / €3.8bn excluding Defence</t>
  </si>
  <si>
    <t>Source-derived</t>
  </si>
  <si>
    <t>Financing scenarios</t>
  </si>
  <si>
    <t>Cash %</t>
  </si>
  <si>
    <t>Debt %</t>
  </si>
  <si>
    <t>Equity %</t>
  </si>
  <si>
    <t>Interest Rate</t>
  </si>
  <si>
    <t>Debt Paydown / Yr</t>
  </si>
  <si>
    <t>Use Case</t>
  </si>
  <si>
    <t>Notes</t>
  </si>
  <si>
    <t>Financing selector</t>
  </si>
  <si>
    <t>All Cash</t>
  </si>
  <si>
    <t>Maximum liquidity draw / minimum leverage</t>
  </si>
  <si>
    <t>Purchase funded from cash</t>
  </si>
  <si>
    <t>Active financing scenario</t>
  </si>
  <si>
    <t>Balanced</t>
  </si>
  <si>
    <t>Base financing</t>
  </si>
  <si>
    <t>Debt-funded with modest equity support</t>
  </si>
  <si>
    <t>Debt Heavy</t>
  </si>
  <si>
    <t>Higher leverage / preserve cash</t>
  </si>
  <si>
    <t>Highest leverage case</t>
  </si>
  <si>
    <t>HISTORICAL FINANCIALS — TATA MOTORS (₹ crore)</t>
  </si>
  <si>
    <t>Income Statement</t>
  </si>
  <si>
    <t>FY25</t>
  </si>
  <si>
    <t>FY26A</t>
  </si>
  <si>
    <t>Source</t>
  </si>
  <si>
    <t>Revenue from operations</t>
  </si>
  <si>
    <t>Tata Motors FY26 Annual Report</t>
  </si>
  <si>
    <t>Other income</t>
  </si>
  <si>
    <t>Total income</t>
  </si>
  <si>
    <t>Cost of materials consumed</t>
  </si>
  <si>
    <t>Purchase of products for sale</t>
  </si>
  <si>
    <t>Changes in inventories</t>
  </si>
  <si>
    <t>Employee benefits expense</t>
  </si>
  <si>
    <t>Finance costs</t>
  </si>
  <si>
    <t>Foreign exchange (gain)/loss</t>
  </si>
  <si>
    <t>D&amp;A expense</t>
  </si>
  <si>
    <t>Product development/engineering expense</t>
  </si>
  <si>
    <t>Other expenses</t>
  </si>
  <si>
    <t>FVTPL equity investment loss</t>
  </si>
  <si>
    <t>Amount transferred to capital/other account</t>
  </si>
  <si>
    <t>Total expenses</t>
  </si>
  <si>
    <t>Share of profit in equity accounted investees</t>
  </si>
  <si>
    <t>Profit before exceptional items and tax</t>
  </si>
  <si>
    <t>Exceptional items</t>
  </si>
  <si>
    <t>Profit before tax</t>
  </si>
  <si>
    <t>Tax expense</t>
  </si>
  <si>
    <t>Profit after tax</t>
  </si>
  <si>
    <t>Balance Sheet</t>
  </si>
  <si>
    <t>PP&amp;E</t>
  </si>
  <si>
    <t>Capital work-in-progress</t>
  </si>
  <si>
    <t>Right-of-use assets</t>
  </si>
  <si>
    <t>Intangible assets + development</t>
  </si>
  <si>
    <t>Equity-accounted investees</t>
  </si>
  <si>
    <t>Non-current investments</t>
  </si>
  <si>
    <t>Non-current loans</t>
  </si>
  <si>
    <t>Other non-current financial assets</t>
  </si>
  <si>
    <t>Non-current tax assets</t>
  </si>
  <si>
    <t>Other non-current assets</t>
  </si>
  <si>
    <t>Inventories</t>
  </si>
  <si>
    <t>Current investments</t>
  </si>
  <si>
    <t>Trade receivables</t>
  </si>
  <si>
    <t>Cash &amp; equivalents</t>
  </si>
  <si>
    <t>Other current financial assets</t>
  </si>
  <si>
    <t>Other current assets</t>
  </si>
  <si>
    <t>Total assets</t>
  </si>
  <si>
    <t>Equity</t>
  </si>
  <si>
    <t>Borrowings</t>
  </si>
  <si>
    <t>Lease liabilities</t>
  </si>
  <si>
    <t>Trade payables</t>
  </si>
  <si>
    <t>Other liabilities</t>
  </si>
  <si>
    <t>Provisions</t>
  </si>
  <si>
    <t>Deferred tax liabilities</t>
  </si>
  <si>
    <t>Current tax liabilities</t>
  </si>
  <si>
    <t>Cash Flow</t>
  </si>
  <si>
    <t>FY25 (9m)</t>
  </si>
  <si>
    <t>Profit for the year</t>
  </si>
  <si>
    <t>D&amp;A</t>
  </si>
  <si>
    <t>Working capital changes</t>
  </si>
  <si>
    <t>Direct taxes paid</t>
  </si>
  <si>
    <t>Net cash from operating activities</t>
  </si>
  <si>
    <t>Payments for PP&amp;E &amp; intangibles, net</t>
  </si>
  <si>
    <t>Net cash from investing activities</t>
  </si>
  <si>
    <t>Net borrowings</t>
  </si>
  <si>
    <t>Interest paid</t>
  </si>
  <si>
    <t>Net cash from financing activities</t>
  </si>
  <si>
    <t>Net increase in cash</t>
  </si>
  <si>
    <t>Free cash flow</t>
  </si>
  <si>
    <t>FORECAST INCOME STATEMENT — TATA MOTORS + IVECO + SYNERGIES (₹ crore)</t>
  </si>
  <si>
    <t>Line item</t>
  </si>
  <si>
    <t>FY27E</t>
  </si>
  <si>
    <t>FY28E</t>
  </si>
  <si>
    <t>FY29E</t>
  </si>
  <si>
    <t>FY30E</t>
  </si>
  <si>
    <t>FY31E</t>
  </si>
  <si>
    <t>Tata Motors revenue</t>
  </si>
  <si>
    <t>Growth %</t>
  </si>
  <si>
    <t>Iveco revenue contribution</t>
  </si>
  <si>
    <t>Total revenue</t>
  </si>
  <si>
    <t>EBITDA — Tata Motors</t>
  </si>
  <si>
    <t>EBITDA — Iveco</t>
  </si>
  <si>
    <t>EBITDA — synergies</t>
  </si>
  <si>
    <t>Total EBITDA</t>
  </si>
  <si>
    <t>D&amp;A — Tata Motors</t>
  </si>
  <si>
    <t>D&amp;A — Iveco</t>
  </si>
  <si>
    <t>Total D&amp;A</t>
  </si>
  <si>
    <t>EBIT</t>
  </si>
  <si>
    <t>Integration costs</t>
  </si>
  <si>
    <t>Pre-tax income</t>
  </si>
  <si>
    <t>Tax</t>
  </si>
  <si>
    <t>Net income</t>
  </si>
  <si>
    <t>Net margin</t>
  </si>
  <si>
    <t>FORECAST BALANCE SHEET — SIMPLIFIED DRIVER MODEL</t>
  </si>
  <si>
    <t>PP&amp;E + CWIP + ROU</t>
  </si>
  <si>
    <t>Intangible assets</t>
  </si>
  <si>
    <t>Inventory</t>
  </si>
  <si>
    <t>Other current / financial assets</t>
  </si>
  <si>
    <t>Current tax assets + held-for-sale</t>
  </si>
  <si>
    <t>Purchase accounting / goodwill</t>
  </si>
  <si>
    <t>Debt</t>
  </si>
  <si>
    <t>Other liabilities / (assets) — balancing plug</t>
  </si>
  <si>
    <t>Total liabilities</t>
  </si>
  <si>
    <t>Balance check</t>
  </si>
  <si>
    <t>Model note</t>
  </si>
  <si>
    <t>Balance-sheet methodology</t>
  </si>
  <si>
    <t>Driver-based pro forma. Non-core assets and liabilities are simplified; the balancing line isolates the unforecast portion of the balance sheet.</t>
  </si>
  <si>
    <t>Limitation</t>
  </si>
  <si>
    <t>This is not a purchase-price-allocation / diligence-grade balance sheet. Replace simplified drivers with PPA, tax, working-capital and debt schedules when diligence data are available.</t>
  </si>
  <si>
    <t>FORECAST CASH FLOW STATEMENT — CONSOLIDATED (₹ crore)</t>
  </si>
  <si>
    <t>Change in NWC</t>
  </si>
  <si>
    <t>Other non-cash / integration</t>
  </si>
  <si>
    <t>Cash flow from operations</t>
  </si>
  <si>
    <t>Capex</t>
  </si>
  <si>
    <t>Acquisition consideration</t>
  </si>
  <si>
    <t>Cash flow from investing</t>
  </si>
  <si>
    <t>Debt funding</t>
  </si>
  <si>
    <t>Equity funding</t>
  </si>
  <si>
    <t>Debt repayment</t>
  </si>
  <si>
    <t>Dividends</t>
  </si>
  <si>
    <t>Cash flow from financing</t>
  </si>
  <si>
    <t>Net change in cash</t>
  </si>
  <si>
    <t>Beginning cash</t>
  </si>
  <si>
    <t>Ending cash</t>
  </si>
  <si>
    <t>M&amp;A / IVECO ACQUISITION MODEL &amp; FINANCING</t>
  </si>
  <si>
    <t>Cash funding</t>
  </si>
  <si>
    <t>M&amp;A debt balance</t>
  </si>
  <si>
    <t>Interest rate</t>
  </si>
  <si>
    <t>Interest expense</t>
  </si>
  <si>
    <t>Iveco EBITDA</t>
  </si>
  <si>
    <t>Iveco D&amp;A</t>
  </si>
  <si>
    <t>Iveco EBIT</t>
  </si>
  <si>
    <t>Synergies</t>
  </si>
  <si>
    <t>Net M&amp;A pre-tax profit impact</t>
  </si>
  <si>
    <t>Acquisition cash outflow</t>
  </si>
  <si>
    <t>Net financing inflow</t>
  </si>
  <si>
    <t>Minimum cash threshold</t>
  </si>
  <si>
    <t>Funding gap to minimum cash</t>
  </si>
  <si>
    <t>TATA MOTORS — FINANCIAL MODEL DASHBOARD</t>
  </si>
  <si>
    <t>KPI</t>
  </si>
  <si>
    <t>Trend / Note</t>
  </si>
  <si>
    <t>Selected operating scenario</t>
  </si>
  <si>
    <t>Revenue (₹ cr)</t>
  </si>
  <si>
    <t>FY26 actual → scenario-driven forecast</t>
  </si>
  <si>
    <t>Selected M&amp;A scenario</t>
  </si>
  <si>
    <t>EBITDA (₹ cr)</t>
  </si>
  <si>
    <t>Revenue × selected margin + Iveco + synergies</t>
  </si>
  <si>
    <t>Selected financing scenario</t>
  </si>
  <si>
    <t>FY27E balance check</t>
  </si>
  <si>
    <t>Net income (₹ cr)</t>
  </si>
  <si>
    <t>After tax, incl. modeled M&amp;A impact</t>
  </si>
  <si>
    <t>Free cash flow (₹ cr)</t>
  </si>
  <si>
    <t>CFO less capex</t>
  </si>
  <si>
    <t>Ending cash (₹ cr)</t>
  </si>
  <si>
    <t>Post-transaction liquidity</t>
  </si>
  <si>
    <t>Debt (₹ cr)</t>
  </si>
  <si>
    <t>Includes acquisition debt / modeled paydown</t>
  </si>
  <si>
    <t>CONCRETE EVIDENCE / MODEL NOTES</t>
  </si>
  <si>
    <t>FY26 Revenue</t>
  </si>
  <si>
    <t>₹83,855 cr</t>
  </si>
  <si>
    <t>Annual report p.267</t>
  </si>
  <si>
    <t>FY26 CFO</t>
  </si>
  <si>
    <t>₹14,981 cr</t>
  </si>
  <si>
    <t>Annual report p.268</t>
  </si>
  <si>
    <t>FY26 FCF</t>
  </si>
  <si>
    <t>₹12,438 cr</t>
  </si>
  <si>
    <t>Annual report p.269</t>
  </si>
  <si>
    <t>Iveco Purchase Price</t>
  </si>
  <si>
    <t>₹41,691 cr</t>
  </si>
  <si>
    <t>Annual report p.117</t>
  </si>
  <si>
    <t>DETAILED VISUAL ANALYSIS</t>
  </si>
  <si>
    <t>Metric</t>
  </si>
  <si>
    <t>Revenue</t>
  </si>
  <si>
    <t>EBITDA</t>
  </si>
  <si>
    <t>M&amp;A contribution bridge</t>
  </si>
  <si>
    <t>OPERATING SCENARIO EVIDENCE — TATA MOTORS STANDALONE (FY31)</t>
  </si>
  <si>
    <t>LIQUIDITY WATCH — BALANCED FINANCING CASE</t>
  </si>
  <si>
    <t>Scenario</t>
  </si>
  <si>
    <t>Revenue Growth</t>
  </si>
  <si>
    <t>EBITDA Margin</t>
  </si>
  <si>
    <t>FY31 Revenue (₹ cr)</t>
  </si>
  <si>
    <t>FY31 EBITDA (₹ cr)</t>
  </si>
  <si>
    <t>Value</t>
  </si>
  <si>
    <t>FY27 ending cash</t>
  </si>
  <si>
    <t>Funding gap / (surplus)</t>
  </si>
  <si>
    <t>SOURCE REGISTER</t>
  </si>
  <si>
    <t>Tata Motors</t>
  </si>
  <si>
    <t>Integrated Annual Report FY2025-26</t>
  </si>
  <si>
    <t>Consolidated balance sheet, p. 266</t>
  </si>
  <si>
    <t>https://cv.tatamotors.com/annual-reports</t>
  </si>
  <si>
    <t>Consolidated P&amp;L, p. 267</t>
  </si>
  <si>
    <t>Consolidated cash flow, pp. 268–269</t>
  </si>
  <si>
    <t>FY26 highlights / MDA</t>
  </si>
  <si>
    <t>Revenue ₹83,855 cr; EBITDA margin 12.3%; FCF ₹12,438 cr</t>
  </si>
  <si>
    <t>Board’s Report — Iveco</t>
  </si>
  <si>
    <t>Purchase consideration approx. ₹41,691 cr / €3.8bn excluding Defence; expected completion Q2 FY27</t>
  </si>
  <si>
    <t>Chairman’s Message — Iveco</t>
  </si>
  <si>
    <t>2025 Iveco revenue approx. €13.4bn; annual sales ~140,000 vehicles</t>
  </si>
  <si>
    <t>Model</t>
  </si>
  <si>
    <t>Investment banking modeling assumptions</t>
  </si>
  <si>
    <t>Assumptions sheet</t>
  </si>
  <si>
    <t>Forward Iveco margins, growth, synergies, integration costs, financing and FX are explicitly modeled assumptions where not disclosed</t>
  </si>
  <si>
    <t>RAW DATA — TATA MOTORS FY2025-26 CONSOLIDATED (₹ crore)</t>
  </si>
  <si>
    <t>Source / Page</t>
  </si>
  <si>
    <t>Source Type</t>
  </si>
  <si>
    <t>Model Use</t>
  </si>
  <si>
    <t>Tata Motors FY26 Annual Report p.267</t>
  </si>
  <si>
    <t>Historical / forecast base</t>
  </si>
  <si>
    <t>Historical / forecast</t>
  </si>
  <si>
    <t>Historical</t>
  </si>
  <si>
    <t>Depreciation &amp; amortisation</t>
  </si>
  <si>
    <t>Historical / D&amp;A driver</t>
  </si>
  <si>
    <t>Product development / engineering</t>
  </si>
  <si>
    <t>Historical / exception</t>
  </si>
  <si>
    <t>Amount transferred to capital / other account</t>
  </si>
  <si>
    <t>Historical check</t>
  </si>
  <si>
    <t>Profit before exceptional items &amp; tax</t>
  </si>
  <si>
    <t>Historical / M&amp;A context</t>
  </si>
  <si>
    <t>Historical / tax rate</t>
  </si>
  <si>
    <t>Historical / base NI</t>
  </si>
  <si>
    <t>Property, plant &amp; equipment</t>
  </si>
  <si>
    <t>Tata Motors FY26 Annual Report p.266</t>
  </si>
  <si>
    <t>PP&amp;E build</t>
  </si>
  <si>
    <t>Capex base</t>
  </si>
  <si>
    <t>Lease / asset base</t>
  </si>
  <si>
    <t>Other intangible assets</t>
  </si>
  <si>
    <t>Intangible base</t>
  </si>
  <si>
    <t>Intangible assets under development</t>
  </si>
  <si>
    <t>Intangible / R&amp;D</t>
  </si>
  <si>
    <t>Investment in equity-accounted investees</t>
  </si>
  <si>
    <t>Non-current investment</t>
  </si>
  <si>
    <t>Investment balance</t>
  </si>
  <si>
    <t>Financial assets</t>
  </si>
  <si>
    <t>Tax assets</t>
  </si>
  <si>
    <t>Other assets</t>
  </si>
  <si>
    <t>Working capital</t>
  </si>
  <si>
    <t>Liquidity</t>
  </si>
  <si>
    <t>Cash &amp; cash equivalents</t>
  </si>
  <si>
    <t>Liquidity / cash flow</t>
  </si>
  <si>
    <t>Bank balances other than cash</t>
  </si>
  <si>
    <t>Current loans</t>
  </si>
  <si>
    <t>Balance-sheet check</t>
  </si>
  <si>
    <t>Equity base</t>
  </si>
  <si>
    <t>Tata Motors FY26 Annual Report pp.266-267</t>
  </si>
  <si>
    <t>Debt base</t>
  </si>
  <si>
    <t>Debt-like liabilities</t>
  </si>
  <si>
    <t>Liability driver</t>
  </si>
  <si>
    <t>Tax / liability</t>
  </si>
  <si>
    <t>Cash Flow Statement</t>
  </si>
  <si>
    <t>Tata Motors FY26 Annual Report p.268</t>
  </si>
  <si>
    <t>Cash flow starting point</t>
  </si>
  <si>
    <t>Non-cash add-back</t>
  </si>
  <si>
    <t>Cash generation</t>
  </si>
  <si>
    <t>Cash tax</t>
  </si>
  <si>
    <t>CFO / FCF</t>
  </si>
  <si>
    <t>Investing</t>
  </si>
  <si>
    <t>Tata Motors FY26 Annual Report p.269</t>
  </si>
  <si>
    <t>Financing</t>
  </si>
  <si>
    <t>Cash bridge</t>
  </si>
  <si>
    <t>Liquidity / debt capacity</t>
  </si>
  <si>
    <t>TRANSACTION EVIDENCE — IVECO</t>
  </si>
  <si>
    <t>Unit</t>
  </si>
  <si>
    <t>Iveco 2025 revenue</t>
  </si>
  <si>
    <t>€bn</t>
  </si>
  <si>
    <t>Tata Motors FY26 Annual Report p.117</t>
  </si>
  <si>
    <t>Translated to ₹ crore using model FX assumption</t>
  </si>
  <si>
    <t>Iveco annual vehicle sales</t>
  </si>
  <si>
    <t>vehicles</t>
  </si>
  <si>
    <t>Tata Motors FY26 Annual Report p.9</t>
  </si>
  <si>
    <t>Strategic scale evidence</t>
  </si>
  <si>
    <t>Acquisition equity consideration</t>
  </si>
  <si>
    <t>Purchase price evidence</t>
  </si>
  <si>
    <t>M&amp;A purchase price</t>
  </si>
  <si>
    <t>Expected completion</t>
  </si>
  <si>
    <t>Q2 FY27</t>
  </si>
  <si>
    <t>period</t>
  </si>
  <si>
    <t>FY27 contribution factor assumption</t>
  </si>
  <si>
    <t>WORKED EXAMPLES — INVESTMENT BANKING MODEL CALCULATIONS</t>
  </si>
  <si>
    <t>Calculation</t>
  </si>
  <si>
    <t>Formula / Logic</t>
  </si>
  <si>
    <t>Inputs</t>
  </si>
  <si>
    <t>Worked Result</t>
  </si>
  <si>
    <t>Purpose</t>
  </si>
  <si>
    <t>Evidence / Source</t>
  </si>
  <si>
    <t>FY26 Revenue Growth</t>
  </si>
  <si>
    <t>(FY26 Revenue / FY25 Revenue) - 1</t>
  </si>
  <si>
    <t>83,855 / 58,217</t>
  </si>
  <si>
    <t>Demonstrates historical growth anchor</t>
  </si>
  <si>
    <t>Tata Motors FY26 P&amp;L</t>
  </si>
  <si>
    <t>FY26 EBITDA</t>
  </si>
  <si>
    <t>Revenue × EBITDA Margin</t>
  </si>
  <si>
    <t>83,855 × 12.3%</t>
  </si>
  <si>
    <t>Operating profit bridge</t>
  </si>
  <si>
    <t>FY26 disclosed underlying EBITDA margin 12.3%</t>
  </si>
  <si>
    <t>Acquisition Debt Funding</t>
  </si>
  <si>
    <t>Purchase Price × Debt %</t>
  </si>
  <si>
    <t>41,691 × 80%</t>
  </si>
  <si>
    <t>Sources of funds</t>
  </si>
  <si>
    <t>Acquisition Equity Funding</t>
  </si>
  <si>
    <t>Purchase Price × Equity %</t>
  </si>
  <si>
    <t>41,691 × 10%</t>
  </si>
  <si>
    <t>Acquisition Cash Funding</t>
  </si>
  <si>
    <t>Purchase Price × Cash %</t>
  </si>
  <si>
    <t>FY27 Iveco Revenue Contribution</t>
  </si>
  <si>
    <t>Iveco FY25 Revenue × (1+growth) × contribution factor</t>
  </si>
  <si>
    <t>134,000 × 1.03 × 75%</t>
  </si>
  <si>
    <t>Partial-year contribution</t>
  </si>
  <si>
    <t>FY27 Synergy</t>
  </si>
  <si>
    <t>Annual synergy run-rate × FY27 ramp</t>
  </si>
  <si>
    <t>1,500 × 25%</t>
  </si>
  <si>
    <t>Synergy realization</t>
  </si>
  <si>
    <t>FY27 New Debt Interest</t>
  </si>
  <si>
    <t>Acquisition debt × interest rate</t>
  </si>
  <si>
    <t>33,352.8 × 7.5%</t>
  </si>
  <si>
    <t>Financing drag</t>
  </si>
  <si>
    <t>FY27 Post-tax Synergy</t>
  </si>
  <si>
    <t>Pre-tax synergy × (1-tax rate)</t>
  </si>
  <si>
    <t>375 × (1-25%)</t>
  </si>
  <si>
    <t>Bottom-line synergy</t>
  </si>
  <si>
    <t>Year-3 Net M&amp;A Pre-tax Impact</t>
  </si>
  <si>
    <t>Iveco EBIT + Synergy - Integration Cost - Interest</t>
  </si>
  <si>
    <t>6,901 + 750 - 100 - 1,876.1</t>
  </si>
  <si>
    <t>Deal contribution</t>
  </si>
  <si>
    <t>M&amp;A Model</t>
  </si>
  <si>
    <t>FY27 Sources = Uses</t>
  </si>
  <si>
    <t>Cash + Debt + Equity - Purchase Price</t>
  </si>
  <si>
    <t>4,169.1 + 33,352.8 + 4,169.1 - 41,691</t>
  </si>
  <si>
    <t>Transaction integrity check</t>
  </si>
  <si>
    <t>FINANCING SCENARIO COMPARISON — CONCRETE EVIDENCE</t>
  </si>
  <si>
    <t>New Debt (₹ cr)</t>
  </si>
  <si>
    <t>FY27 Interest (₹ cr)</t>
  </si>
  <si>
    <t>YEAR-3 M&amp;A SENSITIVITY — PRE-TAX DEAL IMPACT (₹ crore)</t>
  </si>
  <si>
    <t>Synergy / Purchase Price</t>
  </si>
  <si>
    <t>₹38,000 cr</t>
  </si>
  <si>
    <t>₹45,000 cr</t>
  </si>
  <si>
    <t>₹750 cr</t>
  </si>
  <si>
    <t>Interest uses 80% debt at 7.5%</t>
  </si>
  <si>
    <t>Integration cost ₹100 cr</t>
  </si>
  <si>
    <t>Target EBIT held at base-case FY28E</t>
  </si>
  <si>
    <t>₹1,500 cr</t>
  </si>
  <si>
    <t>Approximate model sensitivity</t>
  </si>
  <si>
    <t>₹2,000 cr</t>
  </si>
  <si>
    <t>Higher synergy case</t>
  </si>
  <si>
    <t>Interpretation</t>
  </si>
  <si>
    <t>More negative = higher financing drag</t>
  </si>
  <si>
    <t>Higher = stronger synergy realization</t>
  </si>
  <si>
    <t>MODEL INTEGRITY CHECKS &amp; EVIDENCE</t>
  </si>
  <si>
    <t>Check</t>
  </si>
  <si>
    <t>Formula</t>
  </si>
  <si>
    <t>Expected</t>
  </si>
  <si>
    <t>Actual</t>
  </si>
  <si>
    <t>Status</t>
  </si>
  <si>
    <t>FY26 Total Revenue</t>
  </si>
  <si>
    <t>Historical FY26 Revenue</t>
  </si>
  <si>
    <t>83,855</t>
  </si>
  <si>
    <t>FY26 Total Assets</t>
  </si>
  <si>
    <t>Historical FY26 Total Assets</t>
  </si>
  <si>
    <t>52,309</t>
  </si>
  <si>
    <t>FY26 Cash Flow</t>
  </si>
  <si>
    <t>Historical FY26 CFO</t>
  </si>
  <si>
    <t>14,981</t>
  </si>
  <si>
    <t>Debt + Equity + Cash - Purchase Price</t>
  </si>
  <si>
    <t>0</t>
  </si>
  <si>
    <t>FY27 Forecast BS Balance</t>
  </si>
  <si>
    <t>Assets - Liabilities - Equity</t>
  </si>
  <si>
    <t>FY27 Ending Cash</t>
  </si>
  <si>
    <t>Beginning cash + net change</t>
  </si>
  <si>
    <t>Calculated</t>
  </si>
  <si>
    <t>FY30 Debt Paydown</t>
  </si>
  <si>
    <t>M&amp;A debt after 3 annual paydown steps</t>
  </si>
  <si>
    <t>&lt; FY27</t>
  </si>
  <si>
    <t>Minimum cash test</t>
  </si>
  <si>
    <t>FY27 ending cash vs minimum cash</t>
  </si>
  <si>
    <t>≥ minimum cash</t>
  </si>
  <si>
    <t>Funding gap</t>
  </si>
  <si>
    <t>Minimum cash - FY27 ending cash (floor at zero)</t>
  </si>
  <si>
    <t>0 if no gap; positive = funding needed</t>
  </si>
  <si>
    <t>LIMITATIONS, MANAGEMENT QUESTIONS &amp; ACTIONABLE NEXT STEPS</t>
  </si>
  <si>
    <t>Area</t>
  </si>
  <si>
    <t>Current limitation</t>
  </si>
  <si>
    <t>Evidence</t>
  </si>
  <si>
    <t>Impact on model</t>
  </si>
  <si>
    <t>Actionable next step</t>
  </si>
  <si>
    <t>Owner / Timing</t>
  </si>
  <si>
    <t>Tata Motors FY25 comparability</t>
  </si>
  <si>
    <t>FY25 comparative cash flow is a 9-month period and is not directly comparable to FY26 full-year cash flow.</t>
  </si>
  <si>
    <t>Annual report cash-flow note</t>
  </si>
  <si>
    <t>Historical growth rates can be misleading</t>
  </si>
  <si>
    <t>Use FY26 as the main forecast base; avoid annualising FY25 cash flow without adjustment.</t>
  </si>
  <si>
    <t>Analyst / Immediate</t>
  </si>
  <si>
    <t>Iveco operating financials</t>
  </si>
  <si>
    <t>The uploaded report discloses Iveco 2025 revenue and transaction value, but not a complete forecast P&amp;L.</t>
  </si>
  <si>
    <t>Annual report Board’s Report / Chairman’s Message</t>
  </si>
  <si>
    <t>Target margins and earnings contribution are assumption-driven</t>
  </si>
  <si>
    <t>Replace assumed EBITDA/D&amp;A/tax rates with confirmed deal-model disclosures when available.</t>
  </si>
  <si>
    <t>Deal team / At signing</t>
  </si>
  <si>
    <t>Purchase accounting</t>
  </si>
  <si>
    <t>₹41,691 crore is equity consideration; purchase accounting / goodwill and fair-value step-ups are not yet fully modeled.</t>
  </si>
  <si>
    <t>Annual report transaction disclosure</t>
  </si>
  <si>
    <t>Can affect depreciation, amortisation, deferred taxes and equity.</t>
  </si>
  <si>
    <t>Add a purchase price allocation schedule once diligence data are available.</t>
  </si>
  <si>
    <t>Valuation / Closing</t>
  </si>
  <si>
    <t>Synergy run-rate is a management-style modeling assumption, not a disclosed commitment.</t>
  </si>
  <si>
    <t>Overstatement would inflate accretion.</t>
  </si>
  <si>
    <t>Build a synergy tracker by procurement, SG&amp;A, logistics and cross-sell with named owners and timing.</t>
  </si>
  <si>
    <t>PMI / Monthly</t>
  </si>
  <si>
    <t>Balanced case assumes 80% debt / 10% equity / 10% cash.</t>
  </si>
  <si>
    <t>Interest expense and leverage depend heavily on the mix.</t>
  </si>
  <si>
    <t>Run covenant, rating and interest-rate sensitivity before funding decision.</t>
  </si>
  <si>
    <t>Treasury / Pre-close</t>
  </si>
  <si>
    <t>Forecast uses a simplified revenue-based NWC driver.</t>
  </si>
  <si>
    <t>Forecast BS / CF</t>
  </si>
  <si>
    <t>Could miss target-specific seasonality and integration effects.</t>
  </si>
  <si>
    <t>Replace with DSO/DIO/DPO drivers from diligence and monthly operating data.</t>
  </si>
  <si>
    <t>FP&amp;A / Pre-close</t>
  </si>
  <si>
    <t>FX</t>
  </si>
  <si>
    <t>Iveco revenue is translated from € to ₹ using a model assumption.</t>
  </si>
  <si>
    <t>Raw Data transaction evidence</t>
  </si>
  <si>
    <t>FX can materially change translated revenue and leverage metrics.</t>
  </si>
  <si>
    <t>Add EUR/INR sensitivity ±10% and hedge policy assumptions.</t>
  </si>
  <si>
    <t>Treasury / Quarterly</t>
  </si>
  <si>
    <t>Integration execution</t>
  </si>
  <si>
    <t>System, culture, customer retention and supply-chain risks are not captured directly in the financial forecast.</t>
  </si>
  <si>
    <t>PMI section / analyst judgment</t>
  </si>
  <si>
    <t>Execution failure can delay synergies or create one-time costs.</t>
  </si>
  <si>
    <t>Track Day-1, 100-day and 12-month milestones with KPI ownership.</t>
  </si>
  <si>
    <t>PMI / Weekly</t>
  </si>
  <si>
    <t>Liquidity in Balanced Case</t>
  </si>
  <si>
    <t>FY27 ending cash is below the ₹4,000 cr minimum cash assumption.</t>
  </si>
  <si>
    <t>Forecast CF / M&amp;A funding</t>
  </si>
  <si>
    <t>Balance-sheet flexibility is constrained immediately after closing.</t>
  </si>
  <si>
    <t>Increase equity/cash funding, negotiate longer debt tenor, or add a committed revolving liquidity facility before close.</t>
  </si>
  <si>
    <t>Recommendation under current assumptions</t>
  </si>
  <si>
    <t>Do not rely on the balanced case without a funding bridge.</t>
  </si>
  <si>
    <t>Model Checks funding gap</t>
  </si>
  <si>
    <t>Model currently indicates incremental liquidity need.</t>
  </si>
  <si>
    <t>Prefer a financing mix that keeps minimum cash above ₹4,000 cr and stress-test 2.0% higher interest rates plus 10% lower synergies.</t>
  </si>
  <si>
    <t>Management / Investment Committee</t>
  </si>
  <si>
    <t>TATA MOTORS — FINANCIAL MODELING / M&amp;A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</si>
</sst>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0.0%;[Red]\(0.0%\);\-"/>
    <numFmt numFmtId="166" formatCode="#,##0.0;[Red]\(#,##0.0\);\-"/>
    <numFmt numFmtId="167" formatCode="0.0%"/>
  </numFmts>
  <fonts count="15">
    <font>
      <sz val="11"/>
      <name val="Carlito"/>
    </font>
    <font>
      <b/>
      <sz val="18"/>
      <color rgb="FFFFFFFF"/>
      <name val="Carlito"/>
    </font>
    <font>
      <b/>
      <sz val="12"/>
      <name val="Carlito"/>
    </font>
    <font>
      <b/>
      <sz val="11"/>
      <name val="Carlito"/>
    </font>
    <font>
      <b/>
      <sz val="12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  <font>
      <sz val="1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FF"/>
      <name val="Arial"/>
    </font>
    <font>
      <b/>
      <sz val="10"/>
      <color rgb="FF0000FF"/>
      <name val="Arial"/>
    </font>
    <font>
      <sz val="10"/>
      <color rgb="FF000000"/>
      <name val="Arial"/>
    </font>
    <font>
      <sz val="10"/>
      <color rgb="FF008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7F9F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5" borderId="0" xfId="0" applyFont="1" applyFill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9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166" fontId="8" fillId="0" borderId="0" xfId="0" applyNumberFormat="1" applyFont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0" fontId="11" fillId="9" borderId="0" xfId="0" applyFont="1" applyFill="1" applyAlignment="1">
      <alignment vertical="center" wrapText="1"/>
    </xf>
    <xf numFmtId="166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8" borderId="0" xfId="0" applyFont="1" applyFill="1" applyAlignment="1">
      <alignment horizontal="center" vertical="center" wrapText="1"/>
    </xf>
    <xf numFmtId="167" fontId="13" fillId="0" borderId="0" xfId="0" applyNumberFormat="1" applyFont="1" applyAlignment="1">
      <alignment vertical="center" wrapText="1"/>
    </xf>
    <xf numFmtId="166" fontId="13" fillId="0" borderId="0" xfId="0" applyNumberFormat="1" applyFont="1" applyAlignment="1">
      <alignment vertical="center" wrapText="1"/>
    </xf>
    <xf numFmtId="167" fontId="11" fillId="0" borderId="0" xfId="0" applyNumberFormat="1" applyFont="1" applyAlignment="1">
      <alignment vertical="center" wrapText="1"/>
    </xf>
    <xf numFmtId="0" fontId="10" fillId="5" borderId="0" xfId="0" applyFont="1" applyFill="1" applyAlignment="1">
      <alignment vertical="center" wrapText="1"/>
    </xf>
    <xf numFmtId="166" fontId="14" fillId="0" borderId="0" xfId="0" applyNumberFormat="1" applyFont="1" applyAlignment="1">
      <alignment vertical="center" wrapText="1"/>
    </xf>
    <xf numFmtId="167" fontId="14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6" fontId="14" fillId="0" borderId="1" xfId="0" applyNumberFormat="1" applyFont="1" applyBorder="1" applyAlignment="1">
      <alignment vertical="center" wrapText="1"/>
    </xf>
    <xf numFmtId="166" fontId="8" fillId="0" borderId="1" xfId="0" applyNumberFormat="1" applyFont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167" fontId="14" fillId="6" borderId="0" xfId="0" applyNumberFormat="1" applyFont="1" applyFill="1" applyAlignment="1">
      <alignment vertical="center" wrapText="1"/>
    </xf>
    <xf numFmtId="166" fontId="14" fillId="6" borderId="0" xfId="0" applyNumberFormat="1" applyFont="1" applyFill="1" applyAlignment="1">
      <alignment vertical="center" wrapText="1"/>
    </xf>
    <xf numFmtId="164" fontId="8" fillId="6" borderId="0" xfId="0" applyNumberFormat="1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167" fontId="6" fillId="10" borderId="0" xfId="0" applyNumberFormat="1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166" fontId="12" fillId="9" borderId="0" xfId="0" applyNumberFormat="1" applyFont="1" applyFill="1" applyAlignment="1">
      <alignment vertical="center" wrapText="1"/>
    </xf>
    <xf numFmtId="166" fontId="10" fillId="8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color rgb="FFFF0000"/>
      </font>
      <fill>
        <patternFill>
          <bgColor rgb="FFFDE9E7"/>
        </patternFill>
      </fill>
    </dxf>
    <dxf>
      <font>
        <color rgb="FFFF0000"/>
      </font>
      <fill>
        <patternFill>
          <bgColor rgb="FFFDE9E7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Dashboard!$B$20:$G$20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Dashboard!$B$21:$G$21</c:f>
              <c:numCache>
                <c:formatCode>#,##0.0;[Red]\(#,##0.0\);\-</c:formatCode>
                <c:ptCount val="6"/>
                <c:pt idx="0">
                  <c:v>83855</c:v>
                </c:pt>
                <c:pt idx="1">
                  <c:v>193239.85</c:v>
                </c:pt>
                <c:pt idx="2">
                  <c:v>238166.18950000004</c:v>
                </c:pt>
                <c:pt idx="3">
                  <c:v>249151.39876500005</c:v>
                </c:pt>
                <c:pt idx="4">
                  <c:v>260734.97995855004</c:v>
                </c:pt>
                <c:pt idx="5">
                  <c:v>272953.70133404853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7A-4EA4-94C3-E7CA9C4880D8}"/>
            </c:ext>
          </c:extLst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Dashboard!$B$20:$G$20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Dashboard!$B$22:$G$22</c:f>
              <c:numCache>
                <c:formatCode>#,##0.0;[Red]\(#,##0.0\);\-</c:formatCode>
                <c:ptCount val="6"/>
                <c:pt idx="0">
                  <c:v>10314.165000000001</c:v>
                </c:pt>
                <c:pt idx="1">
                  <c:v>19871.806250000001</c:v>
                </c:pt>
                <c:pt idx="2">
                  <c:v>24123.546687500002</c:v>
                </c:pt>
                <c:pt idx="3">
                  <c:v>25679.781035625005</c:v>
                </c:pt>
                <c:pt idx="4">
                  <c:v>27305.054370518756</c:v>
                </c:pt>
                <c:pt idx="5">
                  <c:v>28628.789998727065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7A-4EA4-94C3-E7CA9C48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income</c:v>
          </c:tx>
          <c:invertIfNegative val="1"/>
          <c:cat>
            <c:strRef>
              <c:f>Dashboard!$B$20:$G$20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Dashboard!$B$23:$G$23</c:f>
              <c:numCache>
                <c:formatCode>#,##0.0;[Red]\(#,##0.0\);\-</c:formatCode>
                <c:ptCount val="6"/>
                <c:pt idx="0">
                  <c:v>3030</c:v>
                </c:pt>
                <c:pt idx="1">
                  <c:v>9150.918525000001</c:v>
                </c:pt>
                <c:pt idx="2">
                  <c:v>11943.378846750002</c:v>
                </c:pt>
                <c:pt idx="3">
                  <c:v>13325.437266022502</c:v>
                </c:pt>
                <c:pt idx="4">
                  <c:v>14585.33934764408</c:v>
                </c:pt>
                <c:pt idx="5">
                  <c:v>15541.483656169161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B-448D-887C-53EB027B8260}"/>
            </c:ext>
          </c:extLst>
        </c:ser>
        <c:ser>
          <c:idx val="1"/>
          <c:order val="1"/>
          <c:tx>
            <c:v>Ending cash</c:v>
          </c:tx>
          <c:invertIfNegative val="1"/>
          <c:cat>
            <c:strRef>
              <c:f>Dashboard!$B$20:$G$20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Dashboard!$B$24:$G$24</c:f>
              <c:numCache>
                <c:formatCode>#,##0.0;[Red]\(#,##0.0\);\-</c:formatCode>
                <c:ptCount val="6"/>
                <c:pt idx="0">
                  <c:v>6899</c:v>
                </c:pt>
                <c:pt idx="1">
                  <c:v>-4423.2901300000012</c:v>
                </c:pt>
                <c:pt idx="2">
                  <c:v>-11606.692549100004</c:v>
                </c:pt>
                <c:pt idx="3">
                  <c:v>-18021.579777537008</c:v>
                </c:pt>
                <c:pt idx="4">
                  <c:v>-23822.128130364603</c:v>
                </c:pt>
                <c:pt idx="5">
                  <c:v>-29380.917691242124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B-448D-887C-53EB027B8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sqref="A1:H2"/>
    </sheetView>
  </sheetViews>
  <sheetFormatPr defaultRowHeight="13.8"/>
  <cols>
    <col min="1" max="1" width="20" customWidth="1"/>
    <col min="2" max="2" width="36" customWidth="1"/>
    <col min="4" max="4" width="54" customWidth="1"/>
  </cols>
  <sheetData>
    <row r="1" spans="1:11">
      <c r="A1" s="42" t="s">
        <v>528</v>
      </c>
      <c r="B1" s="43"/>
      <c r="C1" s="43"/>
      <c r="D1" s="43"/>
      <c r="E1" s="43"/>
      <c r="F1" s="43"/>
      <c r="G1" s="43"/>
      <c r="H1" s="43"/>
      <c r="I1" s="1"/>
      <c r="J1" s="1"/>
      <c r="K1" s="1"/>
    </row>
    <row r="2" spans="1:11">
      <c r="A2" s="43"/>
      <c r="B2" s="43"/>
      <c r="C2" s="43"/>
      <c r="D2" s="43"/>
      <c r="E2" s="43"/>
      <c r="F2" s="43"/>
      <c r="G2" s="43"/>
      <c r="H2" s="43"/>
      <c r="I2" s="1"/>
      <c r="J2" s="1"/>
      <c r="K2" s="1"/>
    </row>
    <row r="3" spans="1:11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.6">
      <c r="A4" s="44"/>
      <c r="B4" s="43"/>
      <c r="C4" s="43"/>
      <c r="D4" s="43"/>
      <c r="E4" s="43"/>
      <c r="F4" s="43"/>
      <c r="G4" s="43"/>
      <c r="H4" s="43"/>
      <c r="I4" s="1"/>
      <c r="J4" s="1"/>
      <c r="K4" s="1"/>
    </row>
    <row r="5" spans="1:11">
      <c r="A5" s="3"/>
      <c r="B5" s="3"/>
      <c r="C5" s="3"/>
      <c r="D5" s="3"/>
      <c r="E5" s="3"/>
      <c r="F5" s="3"/>
      <c r="G5" s="3"/>
      <c r="H5" s="3"/>
      <c r="I5" s="1"/>
      <c r="J5" s="1"/>
      <c r="K5" s="1"/>
    </row>
    <row r="6" spans="1:11" ht="27.6">
      <c r="A6" s="2" t="s">
        <v>0</v>
      </c>
      <c r="B6" s="3" t="s">
        <v>1</v>
      </c>
      <c r="C6" s="3"/>
      <c r="D6" s="45" t="s">
        <v>2</v>
      </c>
      <c r="E6" s="43"/>
      <c r="F6" s="43"/>
      <c r="G6" s="43"/>
      <c r="H6" s="43"/>
      <c r="I6" s="1"/>
      <c r="J6" s="1"/>
      <c r="K6" s="1"/>
    </row>
    <row r="7" spans="1:11">
      <c r="A7" s="2" t="s">
        <v>3</v>
      </c>
      <c r="B7" s="3" t="s">
        <v>4</v>
      </c>
      <c r="C7" s="3"/>
      <c r="D7" s="43"/>
      <c r="E7" s="43"/>
      <c r="F7" s="43"/>
      <c r="G7" s="43"/>
      <c r="H7" s="43"/>
      <c r="I7" s="1"/>
      <c r="J7" s="1"/>
      <c r="K7" s="1"/>
    </row>
    <row r="8" spans="1:11">
      <c r="A8" s="2" t="s">
        <v>5</v>
      </c>
      <c r="B8" s="3" t="s">
        <v>6</v>
      </c>
      <c r="C8" s="3"/>
      <c r="D8" s="43"/>
      <c r="E8" s="43"/>
      <c r="F8" s="43"/>
      <c r="G8" s="43"/>
      <c r="H8" s="43"/>
      <c r="I8" s="1"/>
      <c r="J8" s="1"/>
      <c r="K8" s="1"/>
    </row>
    <row r="9" spans="1:11">
      <c r="A9" s="2" t="s">
        <v>7</v>
      </c>
      <c r="B9" s="3" t="s">
        <v>8</v>
      </c>
      <c r="C9" s="3"/>
      <c r="D9" s="43"/>
      <c r="E9" s="43"/>
      <c r="F9" s="43"/>
      <c r="G9" s="43"/>
      <c r="H9" s="43"/>
      <c r="I9" s="1"/>
      <c r="J9" s="1"/>
      <c r="K9" s="1"/>
    </row>
    <row r="10" spans="1:11" ht="27.6">
      <c r="A10" s="2" t="s">
        <v>9</v>
      </c>
      <c r="B10" s="3" t="s">
        <v>10</v>
      </c>
      <c r="C10" s="3"/>
      <c r="D10" s="43"/>
      <c r="E10" s="43"/>
      <c r="F10" s="43"/>
      <c r="G10" s="43"/>
      <c r="H10" s="43"/>
      <c r="I10" s="1"/>
      <c r="J10" s="1"/>
      <c r="K10" s="1"/>
    </row>
    <row r="11" spans="1:11">
      <c r="A11" s="2" t="s">
        <v>11</v>
      </c>
      <c r="B11" s="3" t="s">
        <v>12</v>
      </c>
      <c r="C11" s="3"/>
      <c r="D11" s="43"/>
      <c r="E11" s="43"/>
      <c r="F11" s="43"/>
      <c r="G11" s="43"/>
      <c r="H11" s="43"/>
      <c r="I11" s="1"/>
      <c r="J11" s="1"/>
      <c r="K11" s="1"/>
    </row>
    <row r="12" spans="1:11" ht="27.6">
      <c r="A12" s="2" t="s">
        <v>13</v>
      </c>
      <c r="B12" s="3" t="s">
        <v>14</v>
      </c>
      <c r="C12" s="3"/>
      <c r="D12" s="43"/>
      <c r="E12" s="43"/>
      <c r="F12" s="43"/>
      <c r="G12" s="43"/>
      <c r="H12" s="43"/>
      <c r="I12" s="1"/>
      <c r="J12" s="1"/>
      <c r="K12" s="1"/>
    </row>
    <row r="13" spans="1:11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</row>
    <row r="14" spans="1:11">
      <c r="A14" s="3"/>
      <c r="B14" s="3"/>
      <c r="C14" s="3"/>
      <c r="D14" s="3"/>
      <c r="E14" s="3"/>
      <c r="F14" s="3"/>
      <c r="G14" s="3"/>
      <c r="H14" s="3"/>
      <c r="I14" s="1"/>
      <c r="J14" s="1"/>
      <c r="K14" s="1"/>
    </row>
    <row r="15" spans="1:11">
      <c r="A15" s="3"/>
      <c r="B15" s="3"/>
      <c r="C15" s="3"/>
      <c r="D15" s="3"/>
      <c r="E15" s="3"/>
      <c r="F15" s="3"/>
      <c r="G15" s="3"/>
      <c r="H15" s="3"/>
      <c r="I15" s="1"/>
      <c r="J15" s="1"/>
      <c r="K15" s="1"/>
    </row>
    <row r="16" spans="1:11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">
    <mergeCell ref="A1:H2"/>
    <mergeCell ref="A4:H4"/>
    <mergeCell ref="D6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sqref="A1:H1"/>
    </sheetView>
  </sheetViews>
  <sheetFormatPr defaultRowHeight="13.8"/>
  <cols>
    <col min="1" max="1" width="34" customWidth="1"/>
    <col min="2" max="6" width="14" customWidth="1"/>
    <col min="7" max="7" width="50" customWidth="1"/>
    <col min="8" max="8" width="18" customWidth="1"/>
    <col min="10" max="10" width="22" customWidth="1"/>
    <col min="11" max="11" width="16" customWidth="1"/>
  </cols>
  <sheetData>
    <row r="1" spans="1:11">
      <c r="A1" s="46" t="s">
        <v>15</v>
      </c>
      <c r="B1" s="43"/>
      <c r="C1" s="43"/>
      <c r="D1" s="43"/>
      <c r="E1" s="43"/>
      <c r="F1" s="43"/>
      <c r="G1" s="43"/>
      <c r="H1" s="4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3"/>
      <c r="J3" s="4" t="s">
        <v>24</v>
      </c>
      <c r="K3" s="4"/>
    </row>
    <row r="4" spans="1:11">
      <c r="A4" s="3" t="s">
        <v>25</v>
      </c>
      <c r="B4" s="5">
        <v>7.0000000000000007E-2</v>
      </c>
      <c r="C4" s="5">
        <v>0.03</v>
      </c>
      <c r="D4" s="5">
        <v>0.1</v>
      </c>
      <c r="E4" s="6">
        <f t="shared" ref="E4:E11" si="0">IF($K$4="Base",B4,IF($K$4="Downside",C4,D4))</f>
        <v>7.0000000000000007E-2</v>
      </c>
      <c r="F4" s="3" t="s">
        <v>26</v>
      </c>
      <c r="G4" s="3" t="s">
        <v>27</v>
      </c>
      <c r="H4" s="3" t="s">
        <v>28</v>
      </c>
      <c r="I4" s="3"/>
      <c r="J4" s="3" t="s">
        <v>29</v>
      </c>
      <c r="K4" s="7" t="s">
        <v>30</v>
      </c>
    </row>
    <row r="5" spans="1:11" ht="27.6">
      <c r="A5" s="3" t="s">
        <v>31</v>
      </c>
      <c r="B5" s="5">
        <v>0.125</v>
      </c>
      <c r="C5" s="5">
        <v>0.115</v>
      </c>
      <c r="D5" s="5">
        <v>0.13</v>
      </c>
      <c r="E5" s="6">
        <f t="shared" si="0"/>
        <v>0.125</v>
      </c>
      <c r="F5" s="3" t="s">
        <v>26</v>
      </c>
      <c r="G5" s="3" t="s">
        <v>32</v>
      </c>
      <c r="H5" s="3" t="s">
        <v>33</v>
      </c>
      <c r="I5" s="3"/>
      <c r="J5" s="3"/>
      <c r="K5" s="3"/>
    </row>
    <row r="6" spans="1:11">
      <c r="A6" s="3" t="s">
        <v>34</v>
      </c>
      <c r="B6" s="5">
        <v>0.25</v>
      </c>
      <c r="C6" s="5">
        <v>0.25</v>
      </c>
      <c r="D6" s="5">
        <v>0.25</v>
      </c>
      <c r="E6" s="6">
        <f t="shared" si="0"/>
        <v>0.25</v>
      </c>
      <c r="F6" s="3" t="s">
        <v>26</v>
      </c>
      <c r="G6" s="3" t="s">
        <v>35</v>
      </c>
      <c r="H6" s="3" t="s">
        <v>28</v>
      </c>
      <c r="I6" s="3"/>
      <c r="J6" s="3"/>
      <c r="K6" s="3"/>
    </row>
    <row r="7" spans="1:11">
      <c r="A7" s="3" t="s">
        <v>36</v>
      </c>
      <c r="B7" s="5">
        <v>2.3E-2</v>
      </c>
      <c r="C7" s="5">
        <v>2.4E-2</v>
      </c>
      <c r="D7" s="5">
        <v>2.1999999999999999E-2</v>
      </c>
      <c r="E7" s="6">
        <f t="shared" si="0"/>
        <v>2.3E-2</v>
      </c>
      <c r="F7" s="3" t="s">
        <v>26</v>
      </c>
      <c r="G7" s="3" t="s">
        <v>37</v>
      </c>
      <c r="H7" s="3" t="s">
        <v>33</v>
      </c>
      <c r="I7" s="3"/>
      <c r="J7" s="3"/>
      <c r="K7" s="3"/>
    </row>
    <row r="8" spans="1:11">
      <c r="A8" s="3" t="s">
        <v>38</v>
      </c>
      <c r="B8" s="5">
        <v>3.5000000000000003E-2</v>
      </c>
      <c r="C8" s="5">
        <v>0.04</v>
      </c>
      <c r="D8" s="5">
        <v>3.2000000000000001E-2</v>
      </c>
      <c r="E8" s="6">
        <f t="shared" si="0"/>
        <v>3.5000000000000003E-2</v>
      </c>
      <c r="F8" s="3" t="s">
        <v>26</v>
      </c>
      <c r="G8" s="3" t="s">
        <v>35</v>
      </c>
      <c r="H8" s="3" t="s">
        <v>28</v>
      </c>
      <c r="I8" s="3"/>
      <c r="J8" s="3"/>
      <c r="K8" s="3"/>
    </row>
    <row r="9" spans="1:11">
      <c r="A9" s="3" t="s">
        <v>39</v>
      </c>
      <c r="B9" s="5">
        <v>5.5E-2</v>
      </c>
      <c r="C9" s="5">
        <v>6.5000000000000002E-2</v>
      </c>
      <c r="D9" s="5">
        <v>4.4999999999999998E-2</v>
      </c>
      <c r="E9" s="6">
        <f t="shared" si="0"/>
        <v>5.5E-2</v>
      </c>
      <c r="F9" s="3" t="s">
        <v>26</v>
      </c>
      <c r="G9" s="3" t="s">
        <v>40</v>
      </c>
      <c r="H9" s="3" t="s">
        <v>28</v>
      </c>
      <c r="I9" s="3"/>
      <c r="J9" s="3"/>
      <c r="K9" s="3"/>
    </row>
    <row r="10" spans="1:11">
      <c r="A10" s="3" t="s">
        <v>41</v>
      </c>
      <c r="B10" s="5">
        <v>0.2</v>
      </c>
      <c r="C10" s="5">
        <v>0.1</v>
      </c>
      <c r="D10" s="5">
        <v>0.25</v>
      </c>
      <c r="E10" s="6">
        <f t="shared" si="0"/>
        <v>0.2</v>
      </c>
      <c r="F10" s="3" t="s">
        <v>26</v>
      </c>
      <c r="G10" s="3" t="s">
        <v>42</v>
      </c>
      <c r="H10" s="3" t="s">
        <v>33</v>
      </c>
      <c r="I10" s="3"/>
      <c r="J10" s="3"/>
      <c r="K10" s="3"/>
    </row>
    <row r="11" spans="1:11">
      <c r="A11" s="3" t="s">
        <v>43</v>
      </c>
      <c r="B11" s="5">
        <v>4000</v>
      </c>
      <c r="C11" s="5">
        <v>4000</v>
      </c>
      <c r="D11" s="5">
        <v>5000</v>
      </c>
      <c r="E11" s="6">
        <f t="shared" si="0"/>
        <v>4000</v>
      </c>
      <c r="F11" s="3" t="s">
        <v>44</v>
      </c>
      <c r="G11" s="3" t="s">
        <v>45</v>
      </c>
      <c r="H11" s="3" t="s">
        <v>28</v>
      </c>
      <c r="I11" s="3"/>
      <c r="J11" s="3"/>
      <c r="K11" s="3"/>
    </row>
    <row r="12" spans="1:11">
      <c r="A12" s="37" t="s">
        <v>46</v>
      </c>
      <c r="B12" s="38">
        <v>5.0000000000000001E-3</v>
      </c>
      <c r="C12" s="38">
        <v>5.0000000000000001E-3</v>
      </c>
      <c r="D12" s="38">
        <v>5.0000000000000001E-3</v>
      </c>
      <c r="E12" s="38">
        <v>5.0000000000000001E-3</v>
      </c>
      <c r="F12" s="37" t="s">
        <v>26</v>
      </c>
      <c r="G12" s="37" t="s">
        <v>47</v>
      </c>
      <c r="H12" s="37" t="s">
        <v>28</v>
      </c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4" t="s">
        <v>48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3"/>
      <c r="J14" s="3"/>
      <c r="K14" s="3"/>
    </row>
    <row r="15" spans="1:11" ht="27.6">
      <c r="A15" s="3" t="s">
        <v>49</v>
      </c>
      <c r="B15" s="8">
        <v>134000</v>
      </c>
      <c r="C15" s="8">
        <v>125000</v>
      </c>
      <c r="D15" s="8">
        <v>145000</v>
      </c>
      <c r="E15" s="9">
        <f t="shared" ref="E15:E29" si="1">IF($K$16="Base",B15,IF($K$16="Downside",C15,D15))</f>
        <v>134000</v>
      </c>
      <c r="F15" s="3" t="s">
        <v>44</v>
      </c>
      <c r="G15" s="3" t="s">
        <v>50</v>
      </c>
      <c r="H15" s="3" t="s">
        <v>33</v>
      </c>
      <c r="I15" s="3"/>
      <c r="J15" s="4" t="s">
        <v>51</v>
      </c>
      <c r="K15" s="4"/>
    </row>
    <row r="16" spans="1:11">
      <c r="A16" s="3" t="s">
        <v>52</v>
      </c>
      <c r="B16" s="5">
        <v>0.03</v>
      </c>
      <c r="C16" s="5">
        <v>0</v>
      </c>
      <c r="D16" s="5">
        <v>0.06</v>
      </c>
      <c r="E16" s="6">
        <f t="shared" si="1"/>
        <v>0.03</v>
      </c>
      <c r="F16" s="3" t="s">
        <v>26</v>
      </c>
      <c r="G16" s="3" t="s">
        <v>35</v>
      </c>
      <c r="H16" s="3" t="s">
        <v>28</v>
      </c>
      <c r="I16" s="3"/>
      <c r="J16" s="3" t="s">
        <v>53</v>
      </c>
      <c r="K16" s="7" t="s">
        <v>30</v>
      </c>
    </row>
    <row r="17" spans="1:11">
      <c r="A17" s="3" t="s">
        <v>54</v>
      </c>
      <c r="B17" s="5">
        <v>0.08</v>
      </c>
      <c r="C17" s="5">
        <v>0.06</v>
      </c>
      <c r="D17" s="5">
        <v>0.1</v>
      </c>
      <c r="E17" s="6">
        <f t="shared" si="1"/>
        <v>0.08</v>
      </c>
      <c r="F17" s="3" t="s">
        <v>26</v>
      </c>
      <c r="G17" s="3" t="s">
        <v>55</v>
      </c>
      <c r="H17" s="3" t="s">
        <v>28</v>
      </c>
      <c r="I17" s="3"/>
      <c r="J17" s="3"/>
      <c r="K17" s="3"/>
    </row>
    <row r="18" spans="1:11">
      <c r="A18" s="3" t="s">
        <v>56</v>
      </c>
      <c r="B18" s="5">
        <v>0.03</v>
      </c>
      <c r="C18" s="5">
        <v>3.5000000000000003E-2</v>
      </c>
      <c r="D18" s="5">
        <v>2.8000000000000001E-2</v>
      </c>
      <c r="E18" s="6">
        <f t="shared" si="1"/>
        <v>0.03</v>
      </c>
      <c r="F18" s="3" t="s">
        <v>26</v>
      </c>
      <c r="G18" s="3" t="s">
        <v>35</v>
      </c>
      <c r="H18" s="3" t="s">
        <v>28</v>
      </c>
      <c r="I18" s="3"/>
      <c r="J18" s="3"/>
      <c r="K18" s="3"/>
    </row>
    <row r="19" spans="1:11">
      <c r="A19" s="3" t="s">
        <v>57</v>
      </c>
      <c r="B19" s="5">
        <v>0.25</v>
      </c>
      <c r="C19" s="5">
        <v>0.27</v>
      </c>
      <c r="D19" s="5">
        <v>0.23</v>
      </c>
      <c r="E19" s="6">
        <f t="shared" si="1"/>
        <v>0.25</v>
      </c>
      <c r="F19" s="3" t="s">
        <v>26</v>
      </c>
      <c r="G19" s="3" t="s">
        <v>35</v>
      </c>
      <c r="H19" s="3" t="s">
        <v>28</v>
      </c>
      <c r="I19" s="3"/>
      <c r="J19" s="3"/>
      <c r="K19" s="3"/>
    </row>
    <row r="20" spans="1:11">
      <c r="A20" s="3" t="s">
        <v>58</v>
      </c>
      <c r="B20" s="5">
        <v>0.03</v>
      </c>
      <c r="C20" s="5">
        <v>3.5000000000000003E-2</v>
      </c>
      <c r="D20" s="5">
        <v>2.8000000000000001E-2</v>
      </c>
      <c r="E20" s="6">
        <f t="shared" si="1"/>
        <v>0.03</v>
      </c>
      <c r="F20" s="3" t="s">
        <v>26</v>
      </c>
      <c r="G20" s="3" t="s">
        <v>35</v>
      </c>
      <c r="H20" s="3" t="s">
        <v>28</v>
      </c>
      <c r="I20" s="3"/>
      <c r="J20" s="3"/>
      <c r="K20" s="3"/>
    </row>
    <row r="21" spans="1:11" ht="27.6">
      <c r="A21" s="3" t="s">
        <v>59</v>
      </c>
      <c r="B21" s="5">
        <v>0.75</v>
      </c>
      <c r="C21" s="5">
        <v>0.5</v>
      </c>
      <c r="D21" s="5">
        <v>0.75</v>
      </c>
      <c r="E21" s="6">
        <f t="shared" si="1"/>
        <v>0.75</v>
      </c>
      <c r="F21" s="3" t="s">
        <v>26</v>
      </c>
      <c r="G21" s="3" t="s">
        <v>60</v>
      </c>
      <c r="H21" s="3" t="s">
        <v>33</v>
      </c>
      <c r="I21" s="3"/>
      <c r="J21" s="3"/>
      <c r="K21" s="3"/>
    </row>
    <row r="22" spans="1:11">
      <c r="A22" s="3" t="s">
        <v>61</v>
      </c>
      <c r="B22" s="5">
        <v>1500</v>
      </c>
      <c r="C22" s="5">
        <v>750</v>
      </c>
      <c r="D22" s="5">
        <v>2000</v>
      </c>
      <c r="E22" s="6">
        <f t="shared" si="1"/>
        <v>1500</v>
      </c>
      <c r="F22" s="3" t="s">
        <v>44</v>
      </c>
      <c r="G22" s="3" t="s">
        <v>62</v>
      </c>
      <c r="H22" s="3" t="s">
        <v>28</v>
      </c>
      <c r="I22" s="3"/>
      <c r="J22" s="3"/>
      <c r="K22" s="3"/>
    </row>
    <row r="23" spans="1:11">
      <c r="A23" s="3" t="s">
        <v>63</v>
      </c>
      <c r="B23" s="5">
        <v>0.25</v>
      </c>
      <c r="C23" s="5">
        <v>0.2</v>
      </c>
      <c r="D23" s="5">
        <v>0.3</v>
      </c>
      <c r="E23" s="6">
        <f t="shared" si="1"/>
        <v>0.25</v>
      </c>
      <c r="F23" s="3" t="s">
        <v>26</v>
      </c>
      <c r="G23" s="3" t="s">
        <v>35</v>
      </c>
      <c r="H23" s="3" t="s">
        <v>28</v>
      </c>
      <c r="I23" s="3"/>
      <c r="J23" s="3"/>
      <c r="K23" s="3"/>
    </row>
    <row r="24" spans="1:11">
      <c r="A24" s="3" t="s">
        <v>64</v>
      </c>
      <c r="B24" s="5">
        <v>0.5</v>
      </c>
      <c r="C24" s="5">
        <v>0.4</v>
      </c>
      <c r="D24" s="5">
        <v>0.6</v>
      </c>
      <c r="E24" s="6">
        <f t="shared" si="1"/>
        <v>0.5</v>
      </c>
      <c r="F24" s="3" t="s">
        <v>26</v>
      </c>
      <c r="G24" s="3" t="s">
        <v>35</v>
      </c>
      <c r="H24" s="3" t="s">
        <v>28</v>
      </c>
      <c r="I24" s="3"/>
      <c r="J24" s="3"/>
      <c r="K24" s="3"/>
    </row>
    <row r="25" spans="1:11">
      <c r="A25" s="3" t="s">
        <v>65</v>
      </c>
      <c r="B25" s="5">
        <v>0.75</v>
      </c>
      <c r="C25" s="5">
        <v>0.65</v>
      </c>
      <c r="D25" s="5">
        <v>0.85</v>
      </c>
      <c r="E25" s="6">
        <f t="shared" si="1"/>
        <v>0.75</v>
      </c>
      <c r="F25" s="3" t="s">
        <v>26</v>
      </c>
      <c r="G25" s="3" t="s">
        <v>35</v>
      </c>
      <c r="H25" s="3" t="s">
        <v>28</v>
      </c>
      <c r="I25" s="3"/>
      <c r="J25" s="3"/>
      <c r="K25" s="3"/>
    </row>
    <row r="26" spans="1:11">
      <c r="A26" s="3" t="s">
        <v>66</v>
      </c>
      <c r="B26" s="5">
        <v>1</v>
      </c>
      <c r="C26" s="5">
        <v>0.9</v>
      </c>
      <c r="D26" s="5">
        <v>1</v>
      </c>
      <c r="E26" s="6">
        <f t="shared" si="1"/>
        <v>1</v>
      </c>
      <c r="F26" s="3" t="s">
        <v>26</v>
      </c>
      <c r="G26" s="3" t="s">
        <v>35</v>
      </c>
      <c r="H26" s="3" t="s">
        <v>28</v>
      </c>
      <c r="I26" s="3"/>
      <c r="J26" s="3"/>
      <c r="K26" s="3"/>
    </row>
    <row r="27" spans="1:11">
      <c r="A27" s="3" t="s">
        <v>67</v>
      </c>
      <c r="B27" s="5">
        <v>250</v>
      </c>
      <c r="C27" s="5">
        <v>350</v>
      </c>
      <c r="D27" s="5">
        <v>200</v>
      </c>
      <c r="E27" s="6">
        <f t="shared" si="1"/>
        <v>250</v>
      </c>
      <c r="F27" s="3" t="s">
        <v>44</v>
      </c>
      <c r="G27" s="3" t="s">
        <v>68</v>
      </c>
      <c r="H27" s="3" t="s">
        <v>28</v>
      </c>
      <c r="I27" s="3"/>
      <c r="J27" s="3"/>
      <c r="K27" s="3"/>
    </row>
    <row r="28" spans="1:11">
      <c r="A28" s="3" t="s">
        <v>69</v>
      </c>
      <c r="B28" s="5">
        <v>100</v>
      </c>
      <c r="C28" s="5">
        <v>150</v>
      </c>
      <c r="D28" s="5">
        <v>50</v>
      </c>
      <c r="E28" s="6">
        <f t="shared" si="1"/>
        <v>100</v>
      </c>
      <c r="F28" s="3" t="s">
        <v>44</v>
      </c>
      <c r="G28" s="3" t="s">
        <v>68</v>
      </c>
      <c r="H28" s="3" t="s">
        <v>28</v>
      </c>
      <c r="I28" s="3"/>
      <c r="J28" s="3"/>
      <c r="K28" s="3"/>
    </row>
    <row r="29" spans="1:11">
      <c r="A29" s="3" t="s">
        <v>70</v>
      </c>
      <c r="B29" s="8">
        <v>41691</v>
      </c>
      <c r="C29" s="8">
        <v>41691</v>
      </c>
      <c r="D29" s="8">
        <v>41691</v>
      </c>
      <c r="E29" s="9">
        <f t="shared" si="1"/>
        <v>41691</v>
      </c>
      <c r="F29" s="3" t="s">
        <v>44</v>
      </c>
      <c r="G29" s="3" t="s">
        <v>71</v>
      </c>
      <c r="H29" s="3" t="s">
        <v>72</v>
      </c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7.6">
      <c r="A32" s="4" t="s">
        <v>73</v>
      </c>
      <c r="B32" s="4" t="s">
        <v>74</v>
      </c>
      <c r="C32" s="4" t="s">
        <v>75</v>
      </c>
      <c r="D32" s="4" t="s">
        <v>76</v>
      </c>
      <c r="E32" s="4" t="s">
        <v>77</v>
      </c>
      <c r="F32" s="4" t="s">
        <v>78</v>
      </c>
      <c r="G32" s="4" t="s">
        <v>79</v>
      </c>
      <c r="H32" s="4" t="s">
        <v>80</v>
      </c>
      <c r="I32" s="3"/>
      <c r="J32" s="4" t="s">
        <v>81</v>
      </c>
      <c r="K32" s="4"/>
    </row>
    <row r="33" spans="1:11" ht="27.6">
      <c r="A33" s="3" t="s">
        <v>82</v>
      </c>
      <c r="B33" s="5">
        <v>1</v>
      </c>
      <c r="C33" s="5">
        <v>0</v>
      </c>
      <c r="D33" s="5">
        <v>0</v>
      </c>
      <c r="E33" s="5">
        <v>7.4999999999999997E-2</v>
      </c>
      <c r="F33" s="5">
        <v>0.2</v>
      </c>
      <c r="G33" s="3" t="s">
        <v>83</v>
      </c>
      <c r="H33" s="3" t="s">
        <v>84</v>
      </c>
      <c r="I33" s="3"/>
      <c r="J33" s="3" t="s">
        <v>85</v>
      </c>
      <c r="K33" s="7" t="s">
        <v>86</v>
      </c>
    </row>
    <row r="34" spans="1:11" ht="41.4">
      <c r="A34" s="3" t="s">
        <v>86</v>
      </c>
      <c r="B34" s="5">
        <v>0.1</v>
      </c>
      <c r="C34" s="5">
        <v>0.8</v>
      </c>
      <c r="D34" s="5">
        <v>0.1</v>
      </c>
      <c r="E34" s="5">
        <v>7.4999999999999997E-2</v>
      </c>
      <c r="F34" s="5">
        <v>0.25</v>
      </c>
      <c r="G34" s="3" t="s">
        <v>87</v>
      </c>
      <c r="H34" s="3" t="s">
        <v>88</v>
      </c>
      <c r="I34" s="3"/>
      <c r="J34" s="3"/>
      <c r="K34" s="3"/>
    </row>
    <row r="35" spans="1:11" ht="27.6">
      <c r="A35" s="3" t="s">
        <v>89</v>
      </c>
      <c r="B35" s="5">
        <v>0.05</v>
      </c>
      <c r="C35" s="5">
        <v>0.9</v>
      </c>
      <c r="D35" s="5">
        <v>0.05</v>
      </c>
      <c r="E35" s="5">
        <v>0.08</v>
      </c>
      <c r="F35" s="5">
        <v>0.2</v>
      </c>
      <c r="G35" s="3" t="s">
        <v>90</v>
      </c>
      <c r="H35" s="3" t="s">
        <v>91</v>
      </c>
      <c r="I35" s="3"/>
      <c r="J35" s="3"/>
      <c r="K35" s="3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H1"/>
  </mergeCells>
  <dataValidations count="2">
    <dataValidation type="list" sqref="K4 K16" xr:uid="{00000000-0002-0000-0100-000000000000}">
      <formula1>"Base,Downside,Upside"</formula1>
    </dataValidation>
    <dataValidation type="list" sqref="K33" xr:uid="{00000000-0002-0000-0100-000002000000}">
      <formula1>"All Cash,Balanced,Debt Heavy"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opLeftCell="A49" workbookViewId="0">
      <selection sqref="A1:D1"/>
    </sheetView>
  </sheetViews>
  <sheetFormatPr defaultRowHeight="13.8"/>
  <cols>
    <col min="1" max="1" width="44" customWidth="1"/>
    <col min="2" max="3" width="14" customWidth="1"/>
    <col min="4" max="4" width="36" customWidth="1"/>
  </cols>
  <sheetData>
    <row r="1" spans="1:11">
      <c r="A1" s="46" t="s">
        <v>92</v>
      </c>
      <c r="B1" s="43"/>
      <c r="C1" s="43"/>
      <c r="D1" s="43"/>
      <c r="E1" s="1"/>
      <c r="F1" s="1"/>
      <c r="G1" s="1"/>
      <c r="H1" s="1"/>
      <c r="I1" s="1"/>
      <c r="J1" s="1"/>
      <c r="K1" s="1"/>
    </row>
    <row r="2" spans="1:11">
      <c r="A2" s="3"/>
      <c r="B2" s="3"/>
      <c r="C2" s="3"/>
      <c r="D2" s="3"/>
      <c r="E2" s="1"/>
      <c r="F2" s="1"/>
      <c r="G2" s="1"/>
      <c r="H2" s="1"/>
      <c r="I2" s="1"/>
      <c r="J2" s="1"/>
      <c r="K2" s="1"/>
    </row>
    <row r="3" spans="1:11">
      <c r="A3" s="4" t="s">
        <v>93</v>
      </c>
      <c r="B3" s="4" t="s">
        <v>94</v>
      </c>
      <c r="C3" s="4" t="s">
        <v>95</v>
      </c>
      <c r="D3" s="4" t="s">
        <v>96</v>
      </c>
      <c r="E3" s="1"/>
      <c r="F3" s="1"/>
      <c r="G3" s="1"/>
      <c r="H3" s="1"/>
      <c r="I3" s="1"/>
      <c r="J3" s="1"/>
      <c r="K3" s="1"/>
    </row>
    <row r="4" spans="1:11">
      <c r="A4" s="3" t="s">
        <v>97</v>
      </c>
      <c r="B4" s="10">
        <v>58217</v>
      </c>
      <c r="C4" s="10">
        <v>83855</v>
      </c>
      <c r="D4" s="3" t="s">
        <v>98</v>
      </c>
      <c r="E4" s="1"/>
      <c r="F4" s="1"/>
      <c r="G4" s="1"/>
      <c r="H4" s="1"/>
      <c r="I4" s="1"/>
      <c r="J4" s="1"/>
      <c r="K4" s="1"/>
    </row>
    <row r="5" spans="1:11">
      <c r="A5" s="3" t="s">
        <v>99</v>
      </c>
      <c r="B5" s="10">
        <v>877</v>
      </c>
      <c r="C5" s="10">
        <v>1124</v>
      </c>
      <c r="D5" s="3" t="s">
        <v>98</v>
      </c>
      <c r="E5" s="1"/>
      <c r="F5" s="1"/>
      <c r="G5" s="1"/>
      <c r="H5" s="1"/>
      <c r="I5" s="1"/>
      <c r="J5" s="1"/>
      <c r="K5" s="1"/>
    </row>
    <row r="6" spans="1:11">
      <c r="A6" s="11" t="s">
        <v>100</v>
      </c>
      <c r="B6" s="12">
        <v>59094</v>
      </c>
      <c r="C6" s="12">
        <v>84979</v>
      </c>
      <c r="D6" s="11" t="s">
        <v>98</v>
      </c>
      <c r="E6" s="1"/>
      <c r="F6" s="1"/>
      <c r="G6" s="1"/>
      <c r="H6" s="1"/>
      <c r="I6" s="1"/>
      <c r="J6" s="1"/>
      <c r="K6" s="1"/>
    </row>
    <row r="7" spans="1:11">
      <c r="A7" s="3" t="s">
        <v>101</v>
      </c>
      <c r="B7" s="10">
        <v>31167</v>
      </c>
      <c r="C7" s="10">
        <v>48840</v>
      </c>
      <c r="D7" s="3" t="s">
        <v>98</v>
      </c>
      <c r="E7" s="1"/>
      <c r="F7" s="1"/>
      <c r="G7" s="1"/>
      <c r="H7" s="1"/>
      <c r="I7" s="1"/>
      <c r="J7" s="1"/>
      <c r="K7" s="1"/>
    </row>
    <row r="8" spans="1:11">
      <c r="A8" s="3" t="s">
        <v>102</v>
      </c>
      <c r="B8" s="10">
        <v>6014</v>
      </c>
      <c r="C8" s="10">
        <v>8184</v>
      </c>
      <c r="D8" s="3" t="s">
        <v>98</v>
      </c>
      <c r="E8" s="1"/>
      <c r="F8" s="1"/>
      <c r="G8" s="1"/>
      <c r="H8" s="1"/>
      <c r="I8" s="1"/>
      <c r="J8" s="1"/>
      <c r="K8" s="1"/>
    </row>
    <row r="9" spans="1:11">
      <c r="A9" s="3" t="s">
        <v>103</v>
      </c>
      <c r="B9" s="10">
        <v>2015</v>
      </c>
      <c r="C9" s="10">
        <v>-292</v>
      </c>
      <c r="D9" s="3" t="s">
        <v>98</v>
      </c>
      <c r="E9" s="1"/>
      <c r="F9" s="1"/>
      <c r="G9" s="1"/>
      <c r="H9" s="1"/>
      <c r="I9" s="1"/>
      <c r="J9" s="1"/>
      <c r="K9" s="1"/>
    </row>
    <row r="10" spans="1:11">
      <c r="A10" s="3" t="s">
        <v>104</v>
      </c>
      <c r="B10" s="10">
        <v>4223</v>
      </c>
      <c r="C10" s="10">
        <v>5804</v>
      </c>
      <c r="D10" s="3" t="s">
        <v>98</v>
      </c>
      <c r="E10" s="1"/>
      <c r="F10" s="1"/>
      <c r="G10" s="1"/>
      <c r="H10" s="1"/>
      <c r="I10" s="1"/>
      <c r="J10" s="1"/>
      <c r="K10" s="1"/>
    </row>
    <row r="11" spans="1:11">
      <c r="A11" s="3" t="s">
        <v>105</v>
      </c>
      <c r="B11" s="10">
        <v>1079</v>
      </c>
      <c r="C11" s="10">
        <v>874</v>
      </c>
      <c r="D11" s="3" t="s">
        <v>98</v>
      </c>
      <c r="E11" s="1"/>
      <c r="F11" s="1"/>
      <c r="G11" s="1"/>
      <c r="H11" s="1"/>
      <c r="I11" s="1"/>
      <c r="J11" s="1"/>
      <c r="K11" s="1"/>
    </row>
    <row r="12" spans="1:11">
      <c r="A12" s="3" t="s">
        <v>106</v>
      </c>
      <c r="B12" s="10">
        <v>91</v>
      </c>
      <c r="C12" s="10">
        <v>-100</v>
      </c>
      <c r="D12" s="3" t="s">
        <v>98</v>
      </c>
      <c r="E12" s="1"/>
      <c r="F12" s="1"/>
      <c r="G12" s="1"/>
      <c r="H12" s="1"/>
      <c r="I12" s="1"/>
      <c r="J12" s="1"/>
      <c r="K12" s="1"/>
    </row>
    <row r="13" spans="1:11">
      <c r="A13" s="3" t="s">
        <v>107</v>
      </c>
      <c r="B13" s="10">
        <v>1690</v>
      </c>
      <c r="C13" s="10">
        <v>1945</v>
      </c>
      <c r="D13" s="3" t="s">
        <v>98</v>
      </c>
      <c r="E13" s="1"/>
      <c r="F13" s="1"/>
      <c r="G13" s="1"/>
      <c r="H13" s="1"/>
      <c r="I13" s="1"/>
      <c r="J13" s="1"/>
      <c r="K13" s="1"/>
    </row>
    <row r="14" spans="1:11">
      <c r="A14" s="3" t="s">
        <v>108</v>
      </c>
      <c r="B14" s="10">
        <v>814</v>
      </c>
      <c r="C14" s="10">
        <v>789</v>
      </c>
      <c r="D14" s="3" t="s">
        <v>98</v>
      </c>
      <c r="E14" s="1"/>
      <c r="F14" s="1"/>
      <c r="G14" s="1"/>
      <c r="H14" s="1"/>
      <c r="I14" s="1"/>
      <c r="J14" s="1"/>
      <c r="K14" s="1"/>
    </row>
    <row r="15" spans="1:11">
      <c r="A15" s="3" t="s">
        <v>109</v>
      </c>
      <c r="B15" s="10">
        <v>8672</v>
      </c>
      <c r="C15" s="10">
        <v>11689</v>
      </c>
      <c r="D15" s="3" t="s">
        <v>98</v>
      </c>
      <c r="E15" s="1"/>
      <c r="F15" s="1"/>
      <c r="G15" s="1"/>
      <c r="H15" s="1"/>
      <c r="I15" s="1"/>
      <c r="J15" s="1"/>
      <c r="K15" s="1"/>
    </row>
    <row r="16" spans="1:11">
      <c r="A16" s="3" t="s">
        <v>110</v>
      </c>
      <c r="B16" s="10">
        <v>0</v>
      </c>
      <c r="C16" s="10">
        <v>2418</v>
      </c>
      <c r="D16" s="3" t="s">
        <v>98</v>
      </c>
      <c r="E16" s="1"/>
      <c r="F16" s="1"/>
      <c r="G16" s="1"/>
      <c r="H16" s="1"/>
      <c r="I16" s="1"/>
      <c r="J16" s="1"/>
      <c r="K16" s="1"/>
    </row>
    <row r="17" spans="1:11">
      <c r="A17" s="3" t="s">
        <v>111</v>
      </c>
      <c r="B17" s="10">
        <v>-951</v>
      </c>
      <c r="C17" s="10">
        <v>-1094</v>
      </c>
      <c r="D17" s="3" t="s">
        <v>98</v>
      </c>
      <c r="E17" s="1"/>
      <c r="F17" s="1"/>
      <c r="G17" s="1"/>
      <c r="H17" s="1"/>
      <c r="I17" s="1"/>
      <c r="J17" s="1"/>
      <c r="K17" s="1"/>
    </row>
    <row r="18" spans="1:11">
      <c r="A18" s="11" t="s">
        <v>112</v>
      </c>
      <c r="B18" s="12">
        <v>54814</v>
      </c>
      <c r="C18" s="12">
        <v>79057</v>
      </c>
      <c r="D18" s="11" t="s">
        <v>98</v>
      </c>
      <c r="E18" s="1"/>
      <c r="F18" s="1"/>
      <c r="G18" s="1"/>
      <c r="H18" s="1"/>
      <c r="I18" s="1"/>
      <c r="J18" s="1"/>
      <c r="K18" s="1"/>
    </row>
    <row r="19" spans="1:11">
      <c r="A19" s="3" t="s">
        <v>113</v>
      </c>
      <c r="B19" s="10">
        <v>125</v>
      </c>
      <c r="C19" s="10">
        <v>169</v>
      </c>
      <c r="D19" s="3" t="s">
        <v>98</v>
      </c>
      <c r="E19" s="1"/>
      <c r="F19" s="1"/>
      <c r="G19" s="1"/>
      <c r="H19" s="1"/>
      <c r="I19" s="1"/>
      <c r="J19" s="1"/>
      <c r="K19" s="1"/>
    </row>
    <row r="20" spans="1:11">
      <c r="A20" s="3" t="s">
        <v>114</v>
      </c>
      <c r="B20" s="10">
        <v>4405</v>
      </c>
      <c r="C20" s="10">
        <v>6091</v>
      </c>
      <c r="D20" s="3" t="s">
        <v>98</v>
      </c>
      <c r="E20" s="1"/>
      <c r="F20" s="1"/>
      <c r="G20" s="1"/>
      <c r="H20" s="1"/>
      <c r="I20" s="1"/>
      <c r="J20" s="1"/>
      <c r="K20" s="1"/>
    </row>
    <row r="21" spans="1:11">
      <c r="A21" s="3" t="s">
        <v>115</v>
      </c>
      <c r="B21" s="10">
        <v>317</v>
      </c>
      <c r="C21" s="10">
        <v>1428</v>
      </c>
      <c r="D21" s="3" t="s">
        <v>98</v>
      </c>
      <c r="E21" s="1"/>
      <c r="F21" s="1"/>
      <c r="G21" s="1"/>
      <c r="H21" s="1"/>
      <c r="I21" s="1"/>
      <c r="J21" s="1"/>
      <c r="K21" s="1"/>
    </row>
    <row r="22" spans="1:11">
      <c r="A22" s="11" t="s">
        <v>116</v>
      </c>
      <c r="B22" s="12">
        <v>4088</v>
      </c>
      <c r="C22" s="12">
        <v>4663</v>
      </c>
      <c r="D22" s="11" t="s">
        <v>98</v>
      </c>
      <c r="E22" s="1"/>
      <c r="F22" s="1"/>
      <c r="G22" s="1"/>
      <c r="H22" s="1"/>
      <c r="I22" s="1"/>
      <c r="J22" s="1"/>
      <c r="K22" s="1"/>
    </row>
    <row r="23" spans="1:11">
      <c r="A23" s="3" t="s">
        <v>117</v>
      </c>
      <c r="B23" s="10">
        <v>893</v>
      </c>
      <c r="C23" s="10">
        <v>1633</v>
      </c>
      <c r="D23" s="3" t="s">
        <v>98</v>
      </c>
      <c r="E23" s="1"/>
      <c r="F23" s="1"/>
      <c r="G23" s="1"/>
      <c r="H23" s="1"/>
      <c r="I23" s="1"/>
      <c r="J23" s="1"/>
      <c r="K23" s="1"/>
    </row>
    <row r="24" spans="1:11">
      <c r="A24" s="11" t="s">
        <v>118</v>
      </c>
      <c r="B24" s="12">
        <v>3195</v>
      </c>
      <c r="C24" s="12">
        <v>3030</v>
      </c>
      <c r="D24" s="11" t="s">
        <v>98</v>
      </c>
      <c r="E24" s="1"/>
      <c r="F24" s="1"/>
      <c r="G24" s="1"/>
      <c r="H24" s="1"/>
      <c r="I24" s="1"/>
      <c r="J24" s="1"/>
      <c r="K24" s="1"/>
    </row>
    <row r="25" spans="1:11">
      <c r="A25" s="3"/>
      <c r="B25" s="3"/>
      <c r="C25" s="3"/>
      <c r="D25" s="3"/>
      <c r="E25" s="1"/>
      <c r="F25" s="1"/>
      <c r="G25" s="1"/>
      <c r="H25" s="1"/>
      <c r="I25" s="1"/>
      <c r="J25" s="1"/>
      <c r="K25" s="1"/>
    </row>
    <row r="26" spans="1:11">
      <c r="A26" s="3"/>
      <c r="B26" s="3"/>
      <c r="C26" s="3"/>
      <c r="D26" s="3"/>
      <c r="E26" s="1"/>
      <c r="F26" s="1"/>
      <c r="G26" s="1"/>
      <c r="H26" s="1"/>
      <c r="I26" s="1"/>
      <c r="J26" s="1"/>
      <c r="K26" s="1"/>
    </row>
    <row r="27" spans="1:11">
      <c r="A27" s="4" t="s">
        <v>119</v>
      </c>
      <c r="B27" s="4" t="s">
        <v>94</v>
      </c>
      <c r="C27" s="4" t="s">
        <v>95</v>
      </c>
      <c r="D27" s="4" t="s">
        <v>96</v>
      </c>
      <c r="E27" s="1"/>
      <c r="F27" s="1"/>
      <c r="G27" s="1"/>
      <c r="H27" s="1"/>
      <c r="I27" s="1"/>
      <c r="J27" s="1"/>
      <c r="K27" s="1"/>
    </row>
    <row r="28" spans="1:11">
      <c r="A28" s="3" t="s">
        <v>120</v>
      </c>
      <c r="B28" s="10">
        <v>10886</v>
      </c>
      <c r="C28" s="10">
        <v>11036</v>
      </c>
      <c r="D28" s="3" t="s">
        <v>98</v>
      </c>
      <c r="E28" s="1"/>
      <c r="F28" s="1"/>
      <c r="G28" s="1"/>
      <c r="H28" s="1"/>
      <c r="I28" s="1"/>
      <c r="J28" s="1"/>
      <c r="K28" s="1"/>
    </row>
    <row r="29" spans="1:11">
      <c r="A29" s="3" t="s">
        <v>121</v>
      </c>
      <c r="B29" s="10">
        <v>719</v>
      </c>
      <c r="C29" s="10">
        <v>712</v>
      </c>
      <c r="D29" s="3" t="s">
        <v>98</v>
      </c>
      <c r="E29" s="1"/>
      <c r="F29" s="1"/>
      <c r="G29" s="1"/>
      <c r="H29" s="1"/>
      <c r="I29" s="1"/>
      <c r="J29" s="1"/>
      <c r="K29" s="1"/>
    </row>
    <row r="30" spans="1:11">
      <c r="A30" s="3" t="s">
        <v>122</v>
      </c>
      <c r="B30" s="10">
        <v>799</v>
      </c>
      <c r="C30" s="10">
        <v>812</v>
      </c>
      <c r="D30" s="3" t="s">
        <v>98</v>
      </c>
      <c r="E30" s="1"/>
      <c r="F30" s="1"/>
      <c r="G30" s="1"/>
      <c r="H30" s="1"/>
      <c r="I30" s="1"/>
      <c r="J30" s="1"/>
      <c r="K30" s="1"/>
    </row>
    <row r="31" spans="1:11">
      <c r="A31" s="3" t="s">
        <v>123</v>
      </c>
      <c r="B31" s="10">
        <v>3135</v>
      </c>
      <c r="C31" s="10">
        <v>3428</v>
      </c>
      <c r="D31" s="3" t="s">
        <v>98</v>
      </c>
      <c r="E31" s="1"/>
      <c r="F31" s="1"/>
      <c r="G31" s="1"/>
      <c r="H31" s="1"/>
      <c r="I31" s="1"/>
      <c r="J31" s="1"/>
      <c r="K31" s="1"/>
    </row>
    <row r="32" spans="1:11">
      <c r="A32" s="3" t="s">
        <v>124</v>
      </c>
      <c r="B32" s="10">
        <v>1272</v>
      </c>
      <c r="C32" s="10">
        <v>1462</v>
      </c>
      <c r="D32" s="3" t="s">
        <v>98</v>
      </c>
      <c r="E32" s="1"/>
      <c r="F32" s="1"/>
      <c r="G32" s="1"/>
      <c r="H32" s="1"/>
      <c r="I32" s="1"/>
      <c r="J32" s="1"/>
      <c r="K32" s="1"/>
    </row>
    <row r="33" spans="1:11">
      <c r="A33" s="3" t="s">
        <v>125</v>
      </c>
      <c r="B33" s="10">
        <v>974</v>
      </c>
      <c r="C33" s="10">
        <v>6547</v>
      </c>
      <c r="D33" s="3" t="s">
        <v>98</v>
      </c>
      <c r="E33" s="1"/>
      <c r="F33" s="1"/>
      <c r="G33" s="1"/>
      <c r="H33" s="1"/>
      <c r="I33" s="1"/>
      <c r="J33" s="1"/>
      <c r="K33" s="1"/>
    </row>
    <row r="34" spans="1:11">
      <c r="A34" s="3" t="s">
        <v>126</v>
      </c>
      <c r="B34" s="10">
        <v>25</v>
      </c>
      <c r="C34" s="10">
        <v>28</v>
      </c>
      <c r="D34" s="3" t="s">
        <v>98</v>
      </c>
      <c r="E34" s="1"/>
      <c r="F34" s="1"/>
      <c r="G34" s="1"/>
      <c r="H34" s="1"/>
      <c r="I34" s="1"/>
      <c r="J34" s="1"/>
      <c r="K34" s="1"/>
    </row>
    <row r="35" spans="1:11">
      <c r="A35" s="3" t="s">
        <v>127</v>
      </c>
      <c r="B35" s="10">
        <v>4424</v>
      </c>
      <c r="C35" s="10">
        <v>4389</v>
      </c>
      <c r="D35" s="3" t="s">
        <v>98</v>
      </c>
      <c r="E35" s="1"/>
      <c r="F35" s="1"/>
      <c r="G35" s="1"/>
      <c r="H35" s="1"/>
      <c r="I35" s="1"/>
      <c r="J35" s="1"/>
      <c r="K35" s="1"/>
    </row>
    <row r="36" spans="1:11">
      <c r="A36" s="3" t="s">
        <v>128</v>
      </c>
      <c r="B36" s="10">
        <v>329</v>
      </c>
      <c r="C36" s="10">
        <v>235</v>
      </c>
      <c r="D36" s="3" t="s">
        <v>98</v>
      </c>
      <c r="E36" s="1"/>
      <c r="F36" s="1"/>
      <c r="G36" s="1"/>
      <c r="H36" s="1"/>
      <c r="I36" s="1"/>
      <c r="J36" s="1"/>
      <c r="K36" s="1"/>
    </row>
    <row r="37" spans="1:11">
      <c r="A37" s="3" t="s">
        <v>129</v>
      </c>
      <c r="B37" s="10">
        <v>318</v>
      </c>
      <c r="C37" s="10">
        <v>451</v>
      </c>
      <c r="D37" s="3" t="s">
        <v>98</v>
      </c>
      <c r="E37" s="1"/>
      <c r="F37" s="1"/>
      <c r="G37" s="1"/>
      <c r="H37" s="1"/>
      <c r="I37" s="1"/>
      <c r="J37" s="1"/>
      <c r="K37" s="1"/>
    </row>
    <row r="38" spans="1:11">
      <c r="A38" s="3" t="s">
        <v>130</v>
      </c>
      <c r="B38" s="10">
        <v>4625</v>
      </c>
      <c r="C38" s="10">
        <v>5448</v>
      </c>
      <c r="D38" s="3" t="s">
        <v>98</v>
      </c>
      <c r="E38" s="1"/>
      <c r="F38" s="1"/>
      <c r="G38" s="1"/>
      <c r="H38" s="1"/>
      <c r="I38" s="1"/>
      <c r="J38" s="1"/>
      <c r="K38" s="1"/>
    </row>
    <row r="39" spans="1:11">
      <c r="A39" s="3" t="s">
        <v>131</v>
      </c>
      <c r="B39" s="10">
        <v>3036</v>
      </c>
      <c r="C39" s="10">
        <v>5274</v>
      </c>
      <c r="D39" s="3" t="s">
        <v>98</v>
      </c>
      <c r="E39" s="1"/>
      <c r="F39" s="1"/>
      <c r="G39" s="1"/>
      <c r="H39" s="1"/>
      <c r="I39" s="1"/>
      <c r="J39" s="1"/>
      <c r="K39" s="1"/>
    </row>
    <row r="40" spans="1:11">
      <c r="A40" s="3" t="s">
        <v>132</v>
      </c>
      <c r="B40" s="10">
        <v>3064</v>
      </c>
      <c r="C40" s="10">
        <v>2721</v>
      </c>
      <c r="D40" s="3" t="s">
        <v>98</v>
      </c>
      <c r="E40" s="1"/>
      <c r="F40" s="1"/>
      <c r="G40" s="1"/>
      <c r="H40" s="1"/>
      <c r="I40" s="1"/>
      <c r="J40" s="1"/>
      <c r="K40" s="1"/>
    </row>
    <row r="41" spans="1:11">
      <c r="A41" s="3" t="s">
        <v>133</v>
      </c>
      <c r="B41" s="10">
        <v>1033</v>
      </c>
      <c r="C41" s="10">
        <v>6899</v>
      </c>
      <c r="D41" s="3" t="s">
        <v>98</v>
      </c>
      <c r="E41" s="1"/>
      <c r="F41" s="1"/>
      <c r="G41" s="1"/>
      <c r="H41" s="1"/>
      <c r="I41" s="1"/>
      <c r="J41" s="1"/>
      <c r="K41" s="1"/>
    </row>
    <row r="42" spans="1:11">
      <c r="A42" s="3" t="s">
        <v>134</v>
      </c>
      <c r="B42" s="10">
        <v>11270</v>
      </c>
      <c r="C42" s="10">
        <v>1928</v>
      </c>
      <c r="D42" s="3" t="s">
        <v>98</v>
      </c>
      <c r="E42" s="1"/>
      <c r="F42" s="1"/>
      <c r="G42" s="1"/>
      <c r="H42" s="1"/>
      <c r="I42" s="1"/>
      <c r="J42" s="1"/>
      <c r="K42" s="1"/>
    </row>
    <row r="43" spans="1:11">
      <c r="A43" s="3" t="s">
        <v>135</v>
      </c>
      <c r="B43" s="10">
        <v>1026</v>
      </c>
      <c r="C43" s="10">
        <v>924</v>
      </c>
      <c r="D43" s="3" t="s">
        <v>98</v>
      </c>
      <c r="E43" s="1"/>
      <c r="F43" s="1"/>
      <c r="G43" s="1"/>
      <c r="H43" s="1"/>
      <c r="I43" s="1"/>
      <c r="J43" s="1"/>
      <c r="K43" s="1"/>
    </row>
    <row r="44" spans="1:11">
      <c r="A44" s="11" t="s">
        <v>136</v>
      </c>
      <c r="B44" s="12">
        <v>46851</v>
      </c>
      <c r="C44" s="12">
        <v>52309</v>
      </c>
      <c r="D44" s="11" t="s">
        <v>98</v>
      </c>
      <c r="E44" s="1"/>
      <c r="F44" s="1"/>
      <c r="G44" s="1"/>
      <c r="H44" s="1"/>
      <c r="I44" s="1"/>
      <c r="J44" s="1"/>
      <c r="K44" s="1"/>
    </row>
    <row r="45" spans="1:11">
      <c r="A45" s="3" t="s">
        <v>137</v>
      </c>
      <c r="B45" s="10">
        <v>10533</v>
      </c>
      <c r="C45" s="10">
        <v>12734</v>
      </c>
      <c r="D45" s="3" t="s">
        <v>98</v>
      </c>
      <c r="E45" s="1"/>
      <c r="F45" s="1"/>
      <c r="G45" s="1"/>
      <c r="H45" s="1"/>
      <c r="I45" s="1"/>
      <c r="J45" s="1"/>
      <c r="K45" s="1"/>
    </row>
    <row r="46" spans="1:11">
      <c r="A46" s="3" t="s">
        <v>138</v>
      </c>
      <c r="B46" s="10">
        <v>9156</v>
      </c>
      <c r="C46" s="10">
        <v>4817</v>
      </c>
      <c r="D46" s="3" t="s">
        <v>98</v>
      </c>
      <c r="E46" s="1"/>
      <c r="F46" s="1"/>
      <c r="G46" s="1"/>
      <c r="H46" s="1"/>
      <c r="I46" s="1"/>
      <c r="J46" s="1"/>
      <c r="K46" s="1"/>
    </row>
    <row r="47" spans="1:11">
      <c r="A47" s="3" t="s">
        <v>139</v>
      </c>
      <c r="B47" s="10">
        <v>769</v>
      </c>
      <c r="C47" s="10">
        <v>798</v>
      </c>
      <c r="D47" s="3" t="s">
        <v>98</v>
      </c>
      <c r="E47" s="1"/>
      <c r="F47" s="1"/>
      <c r="G47" s="1"/>
      <c r="H47" s="1"/>
      <c r="I47" s="1"/>
      <c r="J47" s="1"/>
      <c r="K47" s="1"/>
    </row>
    <row r="48" spans="1:11">
      <c r="A48" s="3" t="s">
        <v>140</v>
      </c>
      <c r="B48" s="10">
        <v>14376</v>
      </c>
      <c r="C48" s="10">
        <v>15704</v>
      </c>
      <c r="D48" s="3" t="s">
        <v>98</v>
      </c>
      <c r="E48" s="1"/>
      <c r="F48" s="1"/>
      <c r="G48" s="1"/>
      <c r="H48" s="1"/>
      <c r="I48" s="1"/>
      <c r="J48" s="1"/>
      <c r="K48" s="1"/>
    </row>
    <row r="49" spans="1:11">
      <c r="A49" s="3" t="s">
        <v>141</v>
      </c>
      <c r="B49" s="10">
        <v>4996</v>
      </c>
      <c r="C49" s="10">
        <v>9404</v>
      </c>
      <c r="D49" s="3" t="s">
        <v>98</v>
      </c>
      <c r="E49" s="1"/>
      <c r="F49" s="1"/>
      <c r="G49" s="1"/>
      <c r="H49" s="1"/>
      <c r="I49" s="1"/>
      <c r="J49" s="1"/>
      <c r="K49" s="1"/>
    </row>
    <row r="50" spans="1:11">
      <c r="A50" s="3" t="s">
        <v>142</v>
      </c>
      <c r="B50" s="10">
        <v>4819</v>
      </c>
      <c r="C50" s="10">
        <v>5900</v>
      </c>
      <c r="D50" s="3" t="s">
        <v>98</v>
      </c>
      <c r="E50" s="1"/>
      <c r="F50" s="1"/>
      <c r="G50" s="1"/>
      <c r="H50" s="1"/>
      <c r="I50" s="1"/>
      <c r="J50" s="1"/>
      <c r="K50" s="1"/>
    </row>
    <row r="51" spans="1:11">
      <c r="A51" s="3" t="s">
        <v>143</v>
      </c>
      <c r="B51" s="10">
        <v>888</v>
      </c>
      <c r="C51" s="10">
        <v>1414</v>
      </c>
      <c r="D51" s="3" t="s">
        <v>98</v>
      </c>
      <c r="E51" s="1"/>
      <c r="F51" s="1"/>
      <c r="G51" s="1"/>
      <c r="H51" s="1"/>
      <c r="I51" s="1"/>
      <c r="J51" s="1"/>
      <c r="K51" s="1"/>
    </row>
    <row r="52" spans="1:11">
      <c r="A52" s="3" t="s">
        <v>144</v>
      </c>
      <c r="B52" s="10">
        <v>26</v>
      </c>
      <c r="C52" s="10">
        <v>59</v>
      </c>
      <c r="D52" s="3" t="s">
        <v>98</v>
      </c>
      <c r="E52" s="1"/>
      <c r="F52" s="1"/>
      <c r="G52" s="1"/>
      <c r="H52" s="1"/>
      <c r="I52" s="1"/>
      <c r="J52" s="1"/>
      <c r="K52" s="1"/>
    </row>
    <row r="53" spans="1:11">
      <c r="A53" s="11"/>
      <c r="B53" s="11"/>
      <c r="C53" s="11"/>
      <c r="D53" s="11"/>
      <c r="E53" s="1"/>
      <c r="F53" s="1"/>
      <c r="G53" s="1"/>
      <c r="H53" s="1"/>
      <c r="I53" s="1"/>
      <c r="J53" s="1"/>
      <c r="K53" s="1"/>
    </row>
    <row r="54" spans="1:11">
      <c r="A54" s="3"/>
      <c r="B54" s="3"/>
      <c r="C54" s="3"/>
      <c r="D54" s="3"/>
      <c r="E54" s="1"/>
      <c r="F54" s="1"/>
      <c r="G54" s="1"/>
      <c r="H54" s="1"/>
      <c r="I54" s="1"/>
      <c r="J54" s="1"/>
      <c r="K54" s="1"/>
    </row>
    <row r="55" spans="1:11">
      <c r="A55" s="4" t="s">
        <v>145</v>
      </c>
      <c r="B55" s="4" t="s">
        <v>146</v>
      </c>
      <c r="C55" s="4" t="s">
        <v>95</v>
      </c>
      <c r="D55" s="4" t="s">
        <v>96</v>
      </c>
      <c r="E55" s="1"/>
      <c r="F55" s="1"/>
      <c r="G55" s="1"/>
      <c r="H55" s="1"/>
      <c r="I55" s="1"/>
      <c r="J55" s="1"/>
      <c r="K55" s="1"/>
    </row>
    <row r="56" spans="1:11">
      <c r="A56" s="3" t="s">
        <v>147</v>
      </c>
      <c r="B56" s="10">
        <v>3195</v>
      </c>
      <c r="C56" s="10">
        <v>3030</v>
      </c>
      <c r="D56" s="3" t="s">
        <v>98</v>
      </c>
      <c r="E56" s="1"/>
      <c r="F56" s="1"/>
      <c r="G56" s="1"/>
      <c r="H56" s="1"/>
      <c r="I56" s="1"/>
      <c r="J56" s="1"/>
      <c r="K56" s="1"/>
    </row>
    <row r="57" spans="1:11">
      <c r="A57" s="3" t="s">
        <v>148</v>
      </c>
      <c r="B57" s="10">
        <v>1690</v>
      </c>
      <c r="C57" s="10">
        <v>1945</v>
      </c>
      <c r="D57" s="3" t="s">
        <v>98</v>
      </c>
      <c r="E57" s="1"/>
      <c r="F57" s="1"/>
      <c r="G57" s="1"/>
      <c r="H57" s="1"/>
      <c r="I57" s="1"/>
      <c r="J57" s="1"/>
      <c r="K57" s="1"/>
    </row>
    <row r="58" spans="1:11">
      <c r="A58" s="3" t="s">
        <v>149</v>
      </c>
      <c r="B58" s="10">
        <v>1838</v>
      </c>
      <c r="C58" s="10">
        <v>6657</v>
      </c>
      <c r="D58" s="3" t="s">
        <v>98</v>
      </c>
      <c r="E58" s="1"/>
      <c r="F58" s="1"/>
      <c r="G58" s="1"/>
      <c r="H58" s="1"/>
      <c r="I58" s="1"/>
      <c r="J58" s="1"/>
      <c r="K58" s="1"/>
    </row>
    <row r="59" spans="1:11">
      <c r="A59" s="3" t="s">
        <v>150</v>
      </c>
      <c r="B59" s="10">
        <v>-20</v>
      </c>
      <c r="C59" s="10">
        <v>-942</v>
      </c>
      <c r="D59" s="3" t="s">
        <v>98</v>
      </c>
      <c r="E59" s="1"/>
      <c r="F59" s="1"/>
      <c r="G59" s="1"/>
      <c r="H59" s="1"/>
      <c r="I59" s="1"/>
      <c r="J59" s="1"/>
      <c r="K59" s="1"/>
    </row>
    <row r="60" spans="1:11">
      <c r="A60" s="11" t="s">
        <v>151</v>
      </c>
      <c r="B60" s="12">
        <v>8547</v>
      </c>
      <c r="C60" s="12">
        <v>14981</v>
      </c>
      <c r="D60" s="11" t="s">
        <v>98</v>
      </c>
      <c r="E60" s="1"/>
      <c r="F60" s="1"/>
      <c r="G60" s="1"/>
      <c r="H60" s="1"/>
      <c r="I60" s="1"/>
      <c r="J60" s="1"/>
      <c r="K60" s="1"/>
    </row>
    <row r="61" spans="1:11">
      <c r="A61" s="3" t="s">
        <v>152</v>
      </c>
      <c r="B61" s="10">
        <v>-1542</v>
      </c>
      <c r="C61" s="10">
        <v>-2103</v>
      </c>
      <c r="D61" s="3" t="s">
        <v>98</v>
      </c>
      <c r="E61" s="1"/>
      <c r="F61" s="1"/>
      <c r="G61" s="1"/>
      <c r="H61" s="1"/>
      <c r="I61" s="1"/>
      <c r="J61" s="1"/>
      <c r="K61" s="1"/>
    </row>
    <row r="62" spans="1:11">
      <c r="A62" s="11" t="s">
        <v>153</v>
      </c>
      <c r="B62" s="12">
        <v>-3884</v>
      </c>
      <c r="C62" s="12">
        <v>-3451</v>
      </c>
      <c r="D62" s="11" t="s">
        <v>98</v>
      </c>
      <c r="E62" s="1"/>
      <c r="F62" s="1"/>
      <c r="G62" s="1"/>
      <c r="H62" s="1"/>
      <c r="I62" s="1"/>
      <c r="J62" s="1"/>
      <c r="K62" s="1"/>
    </row>
    <row r="63" spans="1:11">
      <c r="A63" s="3" t="s">
        <v>154</v>
      </c>
      <c r="B63" s="10">
        <v>-6964</v>
      </c>
      <c r="C63" s="10">
        <v>-4339</v>
      </c>
      <c r="D63" s="3" t="s">
        <v>98</v>
      </c>
      <c r="E63" s="1"/>
      <c r="F63" s="1"/>
      <c r="G63" s="1"/>
      <c r="H63" s="1"/>
      <c r="I63" s="1"/>
      <c r="J63" s="1"/>
      <c r="K63" s="1"/>
    </row>
    <row r="64" spans="1:11">
      <c r="A64" s="3" t="s">
        <v>155</v>
      </c>
      <c r="B64" s="10">
        <v>-1006</v>
      </c>
      <c r="C64" s="10">
        <v>-884</v>
      </c>
      <c r="D64" s="3" t="s">
        <v>98</v>
      </c>
      <c r="E64" s="1"/>
      <c r="F64" s="1"/>
      <c r="G64" s="1"/>
      <c r="H64" s="1"/>
      <c r="I64" s="1"/>
      <c r="J64" s="1"/>
      <c r="K64" s="1"/>
    </row>
    <row r="65" spans="1:11">
      <c r="A65" s="11" t="s">
        <v>156</v>
      </c>
      <c r="B65" s="12">
        <v>-7970</v>
      </c>
      <c r="C65" s="12">
        <v>-5223</v>
      </c>
      <c r="D65" s="11" t="s">
        <v>98</v>
      </c>
      <c r="E65" s="1"/>
      <c r="F65" s="1"/>
      <c r="G65" s="1"/>
      <c r="H65" s="1"/>
      <c r="I65" s="1"/>
      <c r="J65" s="1"/>
      <c r="K65" s="1"/>
    </row>
    <row r="66" spans="1:11">
      <c r="A66" s="11" t="s">
        <v>157</v>
      </c>
      <c r="B66" s="12">
        <v>-3307</v>
      </c>
      <c r="C66" s="12">
        <v>6307</v>
      </c>
      <c r="D66" s="11" t="s">
        <v>98</v>
      </c>
      <c r="E66" s="1"/>
      <c r="F66" s="1"/>
      <c r="G66" s="1"/>
      <c r="H66" s="1"/>
      <c r="I66" s="1"/>
      <c r="J66" s="1"/>
      <c r="K66" s="1"/>
    </row>
    <row r="67" spans="1:11">
      <c r="A67" s="11" t="s">
        <v>158</v>
      </c>
      <c r="B67" s="12">
        <v>5880</v>
      </c>
      <c r="C67" s="12">
        <v>12438</v>
      </c>
      <c r="D67" s="11" t="s">
        <v>98</v>
      </c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"/>
  <sheetViews>
    <sheetView workbookViewId="0">
      <selection sqref="A1:G1"/>
    </sheetView>
  </sheetViews>
  <sheetFormatPr defaultRowHeight="13.8"/>
  <cols>
    <col min="1" max="1" width="36" customWidth="1"/>
    <col min="2" max="7" width="15" customWidth="1"/>
  </cols>
  <sheetData>
    <row r="1" spans="1:17">
      <c r="A1" s="47" t="s">
        <v>159</v>
      </c>
      <c r="B1" s="47"/>
      <c r="C1" s="47"/>
      <c r="D1" s="47"/>
      <c r="E1" s="47"/>
      <c r="F1" s="47"/>
      <c r="G1" s="47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7" t="s">
        <v>160</v>
      </c>
      <c r="B3" s="17" t="s">
        <v>95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3" t="s">
        <v>166</v>
      </c>
      <c r="B4" s="28">
        <f>Historical!C4</f>
        <v>83855</v>
      </c>
      <c r="C4" s="18">
        <f>Historical!C4*(1+Assumptions!E4)</f>
        <v>89724.85</v>
      </c>
      <c r="D4" s="18">
        <f>C4*(1+Assumptions!E4)</f>
        <v>96005.589500000016</v>
      </c>
      <c r="E4" s="18">
        <f>D4*(1+Assumptions!E4)</f>
        <v>102725.98076500003</v>
      </c>
      <c r="F4" s="18">
        <f>E4*(1+Assumptions!E4)</f>
        <v>109916.79941855004</v>
      </c>
      <c r="G4" s="18">
        <f>F4*(1+Assumptions!E4)</f>
        <v>117610.97537784855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>
      <c r="A5" s="13" t="s">
        <v>167</v>
      </c>
      <c r="B5" s="29"/>
      <c r="C5" s="19"/>
      <c r="D5" s="19">
        <f>C4/B4-1</f>
        <v>7.0000000000000062E-2</v>
      </c>
      <c r="E5" s="19">
        <f>D4/C4-1</f>
        <v>7.0000000000000062E-2</v>
      </c>
      <c r="F5" s="19">
        <f>E4/D4-1</f>
        <v>7.0000000000000062E-2</v>
      </c>
      <c r="G5" s="19">
        <f>F4/E4-1</f>
        <v>7.0000000000000062E-2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>
      <c r="A6" s="30" t="s">
        <v>168</v>
      </c>
      <c r="B6" s="31">
        <f>0</f>
        <v>0</v>
      </c>
      <c r="C6" s="32">
        <f>'M&amp;A Model'!C11</f>
        <v>103515</v>
      </c>
      <c r="D6" s="32">
        <f>'M&amp;A Model'!D11</f>
        <v>142160.6</v>
      </c>
      <c r="E6" s="32">
        <f>'M&amp;A Model'!E11</f>
        <v>146425.41800000001</v>
      </c>
      <c r="F6" s="32">
        <f>'M&amp;A Model'!F11</f>
        <v>150818.18054</v>
      </c>
      <c r="G6" s="32">
        <f>'M&amp;A Model'!G11</f>
        <v>155342.72595619998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13" t="s">
        <v>169</v>
      </c>
      <c r="B7" s="28">
        <f t="shared" ref="B7:G7" si="0">SUM(B4,B6)</f>
        <v>83855</v>
      </c>
      <c r="C7" s="18">
        <f t="shared" si="0"/>
        <v>193239.85</v>
      </c>
      <c r="D7" s="18">
        <f t="shared" si="0"/>
        <v>238166.18950000004</v>
      </c>
      <c r="E7" s="18">
        <f t="shared" si="0"/>
        <v>249151.39876500005</v>
      </c>
      <c r="F7" s="18">
        <f t="shared" si="0"/>
        <v>260734.97995855004</v>
      </c>
      <c r="G7" s="18">
        <f t="shared" si="0"/>
        <v>272953.70133404853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13" t="s">
        <v>170</v>
      </c>
      <c r="B8" s="28">
        <f>Historical!C4*12.3%</f>
        <v>10314.165000000001</v>
      </c>
      <c r="C8" s="18">
        <f>C4*Assumptions!E5</f>
        <v>11215.606250000001</v>
      </c>
      <c r="D8" s="18">
        <f>D4*Assumptions!E5</f>
        <v>12000.698687500002</v>
      </c>
      <c r="E8" s="18">
        <f>E4*Assumptions!E5</f>
        <v>12840.747595625004</v>
      </c>
      <c r="F8" s="18">
        <f>F4*Assumptions!E5</f>
        <v>13739.599927318755</v>
      </c>
      <c r="G8" s="18">
        <f>G4*Assumptions!E5</f>
        <v>14701.371922231068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30" t="s">
        <v>171</v>
      </c>
      <c r="B9" s="31">
        <f>0</f>
        <v>0</v>
      </c>
      <c r="C9" s="32">
        <f>'M&amp;A Model'!C12</f>
        <v>8281.2000000000007</v>
      </c>
      <c r="D9" s="32">
        <f>'M&amp;A Model'!D12</f>
        <v>11372.848</v>
      </c>
      <c r="E9" s="32">
        <f>'M&amp;A Model'!E12</f>
        <v>11714.033440000001</v>
      </c>
      <c r="F9" s="32">
        <f>'M&amp;A Model'!F12</f>
        <v>12065.4544432</v>
      </c>
      <c r="G9" s="32">
        <f>'M&amp;A Model'!G12</f>
        <v>12427.418076495998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 t="s">
        <v>172</v>
      </c>
      <c r="B10" s="28">
        <f>0</f>
        <v>0</v>
      </c>
      <c r="C10" s="18">
        <f>'M&amp;A Model'!C15</f>
        <v>375</v>
      </c>
      <c r="D10" s="18">
        <f>'M&amp;A Model'!D15</f>
        <v>750</v>
      </c>
      <c r="E10" s="18">
        <f>'M&amp;A Model'!E15</f>
        <v>1125</v>
      </c>
      <c r="F10" s="18">
        <f>'M&amp;A Model'!F15</f>
        <v>1500</v>
      </c>
      <c r="G10" s="18">
        <f>'M&amp;A Model'!G15</f>
        <v>1500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 t="s">
        <v>173</v>
      </c>
      <c r="B11" s="29">
        <f t="shared" ref="B11:G11" si="1">SUM(B8:B10)</f>
        <v>10314.165000000001</v>
      </c>
      <c r="C11" s="19">
        <f t="shared" si="1"/>
        <v>19871.806250000001</v>
      </c>
      <c r="D11" s="19">
        <f t="shared" si="1"/>
        <v>24123.546687500002</v>
      </c>
      <c r="E11" s="19">
        <f t="shared" si="1"/>
        <v>25679.781035625005</v>
      </c>
      <c r="F11" s="19">
        <f t="shared" si="1"/>
        <v>27305.054370518756</v>
      </c>
      <c r="G11" s="19">
        <f t="shared" si="1"/>
        <v>28628.789998727065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 t="s">
        <v>31</v>
      </c>
      <c r="B12" s="28">
        <f t="shared" ref="B12:G12" si="2">B11/B7</f>
        <v>0.12300000000000001</v>
      </c>
      <c r="C12" s="18">
        <f t="shared" si="2"/>
        <v>0.10283492897557103</v>
      </c>
      <c r="D12" s="18">
        <f t="shared" si="2"/>
        <v>0.1012887124664687</v>
      </c>
      <c r="E12" s="18">
        <f t="shared" si="2"/>
        <v>0.10306898200417575</v>
      </c>
      <c r="F12" s="18">
        <f t="shared" si="2"/>
        <v>0.10472340295444645</v>
      </c>
      <c r="G12" s="18">
        <f t="shared" si="2"/>
        <v>0.10488515033430645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30" t="s">
        <v>174</v>
      </c>
      <c r="B13" s="31">
        <f>Historical!C13</f>
        <v>1945</v>
      </c>
      <c r="C13" s="32">
        <f>C4*Assumptions!E7</f>
        <v>2063.67155</v>
      </c>
      <c r="D13" s="32">
        <f>D4*Assumptions!E7</f>
        <v>2208.1285585000005</v>
      </c>
      <c r="E13" s="32">
        <f>E4*Assumptions!E7</f>
        <v>2362.6975575950005</v>
      </c>
      <c r="F13" s="32">
        <f>F4*Assumptions!E7</f>
        <v>2528.0863866266509</v>
      </c>
      <c r="G13" s="32">
        <f>G4*Assumptions!E7</f>
        <v>2705.0524336905164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 t="s">
        <v>175</v>
      </c>
      <c r="B14" s="28">
        <f>0</f>
        <v>0</v>
      </c>
      <c r="C14" s="18">
        <f>'M&amp;A Model'!C13</f>
        <v>3105.45</v>
      </c>
      <c r="D14" s="18">
        <f>'M&amp;A Model'!D13</f>
        <v>4264.8180000000002</v>
      </c>
      <c r="E14" s="18">
        <f>'M&amp;A Model'!E13</f>
        <v>4392.7625399999997</v>
      </c>
      <c r="F14" s="18">
        <f>'M&amp;A Model'!F13</f>
        <v>4524.5454161999996</v>
      </c>
      <c r="G14" s="18">
        <f>'M&amp;A Model'!G13</f>
        <v>4660.2817786859996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30" t="s">
        <v>176</v>
      </c>
      <c r="B15" s="31">
        <f t="shared" ref="B15:G15" si="3">SUM(B13:B14)</f>
        <v>1945</v>
      </c>
      <c r="C15" s="32">
        <f t="shared" si="3"/>
        <v>5169.1215499999998</v>
      </c>
      <c r="D15" s="32">
        <f t="shared" si="3"/>
        <v>6472.9465585000007</v>
      </c>
      <c r="E15" s="32">
        <f t="shared" si="3"/>
        <v>6755.4600975949998</v>
      </c>
      <c r="F15" s="32">
        <f t="shared" si="3"/>
        <v>7052.6318028266505</v>
      </c>
      <c r="G15" s="32">
        <f t="shared" si="3"/>
        <v>7365.334212376516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 t="s">
        <v>177</v>
      </c>
      <c r="B16" s="18">
        <f t="shared" ref="B16:G16" si="4">B11-B15</f>
        <v>8369.1650000000009</v>
      </c>
      <c r="C16" s="18">
        <f t="shared" si="4"/>
        <v>14702.684700000002</v>
      </c>
      <c r="D16" s="18">
        <f t="shared" si="4"/>
        <v>17650.600129000002</v>
      </c>
      <c r="E16" s="18">
        <f t="shared" si="4"/>
        <v>18924.320938030003</v>
      </c>
      <c r="F16" s="18">
        <f t="shared" si="4"/>
        <v>20252.422567692105</v>
      </c>
      <c r="G16" s="18">
        <f t="shared" si="4"/>
        <v>21263.455786350547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 t="s">
        <v>105</v>
      </c>
      <c r="B17" s="18">
        <f>Historical!C11</f>
        <v>874</v>
      </c>
      <c r="C17" s="18">
        <f>Historical!C11+'M&amp;A Model'!C10</f>
        <v>3375.46</v>
      </c>
      <c r="D17" s="18">
        <f>Historical!C11+'M&amp;A Model'!D10</f>
        <v>2750.0950000000003</v>
      </c>
      <c r="E17" s="18">
        <f>Historical!C11+'M&amp;A Model'!E10</f>
        <v>2281.07125</v>
      </c>
      <c r="F17" s="18">
        <f>Historical!C11+'M&amp;A Model'!F10</f>
        <v>1929.3034375</v>
      </c>
      <c r="G17" s="18">
        <f>Historical!C11+'M&amp;A Model'!G10</f>
        <v>1665.477578125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 t="s">
        <v>99</v>
      </c>
      <c r="B18" s="18">
        <f>Historical!C5</f>
        <v>1124</v>
      </c>
      <c r="C18" s="18">
        <f>Historical!C5</f>
        <v>1124</v>
      </c>
      <c r="D18" s="18">
        <f>Historical!C5</f>
        <v>1124</v>
      </c>
      <c r="E18" s="18">
        <f>Historical!C5</f>
        <v>1124</v>
      </c>
      <c r="F18" s="18">
        <f>Historical!C5</f>
        <v>1124</v>
      </c>
      <c r="G18" s="18">
        <f>Historical!C5</f>
        <v>1124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 t="s">
        <v>178</v>
      </c>
      <c r="B19" s="18">
        <f>Historical!C21</f>
        <v>1428</v>
      </c>
      <c r="C19" s="18">
        <f>'M&amp;A Model'!C16</f>
        <v>250</v>
      </c>
      <c r="D19" s="18">
        <f>'M&amp;A Model'!D16</f>
        <v>100</v>
      </c>
      <c r="E19" s="18">
        <f>'M&amp;A Model'!E16</f>
        <v>0</v>
      </c>
      <c r="F19" s="18">
        <f>'M&amp;A Model'!F16</f>
        <v>0</v>
      </c>
      <c r="G19" s="18">
        <f>'M&amp;A Model'!G16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 t="s">
        <v>179</v>
      </c>
      <c r="B20" s="18">
        <f>Historical!C22</f>
        <v>4663</v>
      </c>
      <c r="C20" s="18">
        <f>C16-C17+C18-C19</f>
        <v>12201.224700000002</v>
      </c>
      <c r="D20" s="18">
        <f>D16-D17+D18-D19</f>
        <v>15924.505129000001</v>
      </c>
      <c r="E20" s="18">
        <f>E16-E17+E18-E19</f>
        <v>17767.249688030002</v>
      </c>
      <c r="F20" s="18">
        <f>F16-F17+F18-F19</f>
        <v>19447.119130192106</v>
      </c>
      <c r="G20" s="18">
        <f>G16-G17+G18-G19</f>
        <v>20721.978208225548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 t="s">
        <v>180</v>
      </c>
      <c r="B21" s="18">
        <f>Historical!C23</f>
        <v>1633</v>
      </c>
      <c r="C21" s="18">
        <f>C20*Assumptions!E6</f>
        <v>3050.3061750000006</v>
      </c>
      <c r="D21" s="18">
        <f>D20*Assumptions!E6</f>
        <v>3981.1262822500003</v>
      </c>
      <c r="E21" s="18">
        <f>E20*Assumptions!E6</f>
        <v>4441.8124220075006</v>
      </c>
      <c r="F21" s="18">
        <f>F20*Assumptions!E6</f>
        <v>4861.7797825480266</v>
      </c>
      <c r="G21" s="18">
        <f>G20*Assumptions!E6</f>
        <v>5180.494552056387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 t="s">
        <v>181</v>
      </c>
      <c r="B22" s="18">
        <f>Historical!C24</f>
        <v>3030</v>
      </c>
      <c r="C22" s="18">
        <f>C20-C21</f>
        <v>9150.918525000001</v>
      </c>
      <c r="D22" s="18">
        <f>D20-D21</f>
        <v>11943.378846750002</v>
      </c>
      <c r="E22" s="18">
        <f>E20-E21</f>
        <v>13325.437266022502</v>
      </c>
      <c r="F22" s="18">
        <f>F20-F21</f>
        <v>14585.33934764408</v>
      </c>
      <c r="G22" s="18">
        <f>G20-G21</f>
        <v>15541.483656169161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13" t="s">
        <v>182</v>
      </c>
      <c r="B23" s="19">
        <f t="shared" ref="B23:G23" si="5">B22/B7</f>
        <v>3.6133802396994812E-2</v>
      </c>
      <c r="C23" s="19">
        <f t="shared" si="5"/>
        <v>4.7355235087379752E-2</v>
      </c>
      <c r="D23" s="19">
        <f t="shared" si="5"/>
        <v>5.0147247482204019E-2</v>
      </c>
      <c r="E23" s="19">
        <f t="shared" si="5"/>
        <v>5.3483293018118161E-2</v>
      </c>
      <c r="F23" s="19">
        <f t="shared" si="5"/>
        <v>5.5939327166469044E-2</v>
      </c>
      <c r="G23" s="19">
        <f t="shared" si="5"/>
        <v>5.693816782923581E-2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topLeftCell="A13" workbookViewId="0">
      <selection sqref="A1:G1"/>
    </sheetView>
  </sheetViews>
  <sheetFormatPr defaultRowHeight="13.8"/>
  <cols>
    <col min="1" max="1" width="36" customWidth="1"/>
    <col min="2" max="7" width="15" customWidth="1"/>
  </cols>
  <sheetData>
    <row r="1" spans="1:17">
      <c r="A1" s="47" t="s">
        <v>183</v>
      </c>
      <c r="B1" s="47"/>
      <c r="C1" s="47"/>
      <c r="D1" s="47"/>
      <c r="E1" s="47"/>
      <c r="F1" s="47"/>
      <c r="G1" s="47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7" t="s">
        <v>44</v>
      </c>
      <c r="B3" s="17" t="s">
        <v>95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3" t="s">
        <v>184</v>
      </c>
      <c r="B4" s="28">
        <f>Historical!C28+Historical!C29+Historical!C30</f>
        <v>12560</v>
      </c>
      <c r="C4" s="18">
        <f>B4-'Forecast IS'!C15+(-'Forecast CF'!C9)</f>
        <v>14154.273200000001</v>
      </c>
      <c r="D4" s="18">
        <f>C4-'Forecast IS'!D15+(-'Forecast CF'!D9)</f>
        <v>16017.143274000002</v>
      </c>
      <c r="E4" s="18">
        <f>D4-'Forecast IS'!E15+(-'Forecast CF'!E9)</f>
        <v>17981.982133180005</v>
      </c>
      <c r="F4" s="18">
        <f>E4-'Forecast IS'!F15+(-'Forecast CF'!F9)</f>
        <v>20055.074628902606</v>
      </c>
      <c r="G4" s="18">
        <f>F4-'Forecast IS'!G15+(-'Forecast CF'!G9)</f>
        <v>22243.119963217789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>
      <c r="A5" s="13" t="s">
        <v>185</v>
      </c>
      <c r="B5" s="28">
        <f>Historical!C31</f>
        <v>3428</v>
      </c>
      <c r="C5" s="18">
        <f>B5+'Forecast IS'!C7*Assumptions!E12</f>
        <v>4394.1992499999997</v>
      </c>
      <c r="D5" s="18">
        <f>C5+'Forecast IS'!D7*Assumptions!E12</f>
        <v>5585.0301975000002</v>
      </c>
      <c r="E5" s="18">
        <f>D5+'Forecast IS'!E7*Assumptions!E12</f>
        <v>6830.7871913250001</v>
      </c>
      <c r="F5" s="18">
        <f>E5+'Forecast IS'!F7*Assumptions!E12</f>
        <v>8134.4620911177499</v>
      </c>
      <c r="G5" s="18">
        <f>F5+'Forecast IS'!G7*Assumptions!E12</f>
        <v>9499.2305977879932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>
      <c r="A6" s="13" t="s">
        <v>129</v>
      </c>
      <c r="B6" s="28">
        <f>Historical!C32+Historical!C33+Historical!C34+Historical!C35+Historical!C36+Historical!C37</f>
        <v>13112</v>
      </c>
      <c r="C6" s="18">
        <f>B6</f>
        <v>13112</v>
      </c>
      <c r="D6" s="18">
        <f>B6</f>
        <v>13112</v>
      </c>
      <c r="E6" s="18">
        <f>B6</f>
        <v>13112</v>
      </c>
      <c r="F6" s="18">
        <f>B6</f>
        <v>13112</v>
      </c>
      <c r="G6" s="18">
        <f>B6</f>
        <v>13112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13" t="s">
        <v>186</v>
      </c>
      <c r="B7" s="28">
        <f>Historical!C38</f>
        <v>5448</v>
      </c>
      <c r="C7" s="18">
        <f>B7+'Forecast IS'!C7*Assumptions!E9</f>
        <v>16076.19175</v>
      </c>
      <c r="D7" s="18">
        <f>C7+'Forecast IS'!D7*Assumptions!E9</f>
        <v>29175.332172500002</v>
      </c>
      <c r="E7" s="18">
        <f>D7+'Forecast IS'!E7*Assumptions!E9</f>
        <v>42878.659104575003</v>
      </c>
      <c r="F7" s="18">
        <f>E7+'Forecast IS'!F7*Assumptions!E9</f>
        <v>57219.083002295258</v>
      </c>
      <c r="G7" s="18">
        <f>F7+'Forecast IS'!G7*Assumptions!E9</f>
        <v>72231.536575667924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13" t="s">
        <v>132</v>
      </c>
      <c r="B8" s="28">
        <f>Historical!C40</f>
        <v>2721</v>
      </c>
      <c r="C8" s="18">
        <f>B8/'Forecast IS'!B7*'Forecast IS'!C7</f>
        <v>6270.4147856418822</v>
      </c>
      <c r="D8" s="18">
        <f>B8/'Forecast IS'!B7*'Forecast IS'!D7</f>
        <v>7728.2237389481861</v>
      </c>
      <c r="E8" s="18">
        <f>B8/'Forecast IS'!B7*'Forecast IS'!E7</f>
        <v>8084.6813671166319</v>
      </c>
      <c r="F8" s="18">
        <f>B8/'Forecast IS'!B7*'Forecast IS'!F7</f>
        <v>8460.555488250131</v>
      </c>
      <c r="G8" s="18">
        <f>B8/'Forecast IS'!B7*'Forecast IS'!G7</f>
        <v>8857.0391906260338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3" t="s">
        <v>133</v>
      </c>
      <c r="B9" s="28">
        <f>Historical!C41</f>
        <v>6899</v>
      </c>
      <c r="C9" s="18">
        <f>'Forecast CF'!C19</f>
        <v>-4423.2901300000012</v>
      </c>
      <c r="D9" s="18">
        <f>'Forecast CF'!D19</f>
        <v>-11606.692549100004</v>
      </c>
      <c r="E9" s="18">
        <f>'Forecast CF'!E19</f>
        <v>-18021.579777537008</v>
      </c>
      <c r="F9" s="18">
        <f>'Forecast CF'!F19</f>
        <v>-23822.128130364603</v>
      </c>
      <c r="G9" s="18">
        <f>'Forecast CF'!G19</f>
        <v>-29380.917691242124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 t="s">
        <v>187</v>
      </c>
      <c r="B10" s="28">
        <f>Historical!C39+Historical!C42+Historical!C43</f>
        <v>8126</v>
      </c>
      <c r="C10" s="18">
        <f>B10/'Forecast IS'!B7*'Forecast IS'!C7</f>
        <v>18725.979620773956</v>
      </c>
      <c r="D10" s="18">
        <f>B10/'Forecast IS'!B7*'Forecast IS'!D7</f>
        <v>23079.583279196235</v>
      </c>
      <c r="E10" s="18">
        <f>B10/'Forecast IS'!B7*'Forecast IS'!E7</f>
        <v>24144.109073572123</v>
      </c>
      <c r="F10" s="18">
        <f>B10/'Forecast IS'!B7*'Forecast IS'!F7</f>
        <v>25266.620322499286</v>
      </c>
      <c r="G10" s="18">
        <f>B10/'Forecast IS'!B7*'Forecast IS'!G7</f>
        <v>26450.680067264664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 t="s">
        <v>188</v>
      </c>
      <c r="B11" s="28">
        <f>15</f>
        <v>15</v>
      </c>
      <c r="C11" s="18">
        <f>B11</f>
        <v>15</v>
      </c>
      <c r="D11" s="18">
        <f>B11</f>
        <v>15</v>
      </c>
      <c r="E11" s="18">
        <f>B11</f>
        <v>15</v>
      </c>
      <c r="F11" s="18">
        <f>B11</f>
        <v>15</v>
      </c>
      <c r="G11" s="18">
        <f>B11</f>
        <v>15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30" t="s">
        <v>189</v>
      </c>
      <c r="B12" s="31">
        <f>0</f>
        <v>0</v>
      </c>
      <c r="C12" s="32">
        <f>Assumptions!E29</f>
        <v>41691</v>
      </c>
      <c r="D12" s="32">
        <f>0</f>
        <v>0</v>
      </c>
      <c r="E12" s="32">
        <f>0</f>
        <v>0</v>
      </c>
      <c r="F12" s="32">
        <f>0</f>
        <v>0</v>
      </c>
      <c r="G12" s="32">
        <f>0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 t="s">
        <v>136</v>
      </c>
      <c r="B13" s="28">
        <f t="shared" ref="B13:G13" si="0">SUM(B4:B12)</f>
        <v>52309</v>
      </c>
      <c r="C13" s="18">
        <f t="shared" si="0"/>
        <v>110015.76847641583</v>
      </c>
      <c r="D13" s="18">
        <f t="shared" si="0"/>
        <v>83105.620113044424</v>
      </c>
      <c r="E13" s="18">
        <f t="shared" si="0"/>
        <v>95025.639092231751</v>
      </c>
      <c r="F13" s="18">
        <f t="shared" si="0"/>
        <v>108440.6674027004</v>
      </c>
      <c r="G13" s="18">
        <f t="shared" si="0"/>
        <v>123027.68870332227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 t="s">
        <v>190</v>
      </c>
      <c r="B14" s="28">
        <f>Historical!C46</f>
        <v>4817</v>
      </c>
      <c r="C14" s="18">
        <f>Historical!C46+'M&amp;A Model'!C8</f>
        <v>38169.800000000003</v>
      </c>
      <c r="D14" s="18">
        <f>Historical!C46+'M&amp;A Model'!D8</f>
        <v>29831.600000000002</v>
      </c>
      <c r="E14" s="18">
        <f>Historical!C46+'M&amp;A Model'!E8</f>
        <v>23577.95</v>
      </c>
      <c r="F14" s="18">
        <f>Historical!C46+'M&amp;A Model'!F8</f>
        <v>18887.712500000001</v>
      </c>
      <c r="G14" s="18">
        <f>Historical!C46+'M&amp;A Model'!G8</f>
        <v>15370.034375000001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 t="s">
        <v>139</v>
      </c>
      <c r="B15" s="28">
        <f>Historical!C47</f>
        <v>798</v>
      </c>
      <c r="C15" s="18">
        <f>B15</f>
        <v>798</v>
      </c>
      <c r="D15" s="18">
        <f>C15</f>
        <v>798</v>
      </c>
      <c r="E15" s="18">
        <f>D15</f>
        <v>798</v>
      </c>
      <c r="F15" s="18">
        <f>E15</f>
        <v>798</v>
      </c>
      <c r="G15" s="18">
        <f>F15</f>
        <v>798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 t="s">
        <v>140</v>
      </c>
      <c r="B16" s="28">
        <f>Historical!C48</f>
        <v>15704</v>
      </c>
      <c r="C16" s="18">
        <f>'Forecast IS'!C7*(Historical!C48/Historical!C4)</f>
        <v>36189.119365571525</v>
      </c>
      <c r="D16" s="18">
        <f>'Forecast IS'!D7*(Historical!C48/Historical!C4)</f>
        <v>44602.728995384896</v>
      </c>
      <c r="E16" s="18">
        <f>'Forecast IS'!E7*(Historical!C48/Historical!C4)</f>
        <v>46659.991249246443</v>
      </c>
      <c r="F16" s="18">
        <f>'Forecast IS'!F7*(Historical!C48/Historical!C4)</f>
        <v>48829.313997603836</v>
      </c>
      <c r="G16" s="18">
        <f>'Forecast IS'!G7*(Historical!C48/Historical!C4)</f>
        <v>51117.583039173551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30" t="s">
        <v>191</v>
      </c>
      <c r="B17" s="31">
        <f t="shared" ref="B17:G17" si="1">B13-B14-B15-B16-B19</f>
        <v>18256</v>
      </c>
      <c r="C17" s="32">
        <f t="shared" si="1"/>
        <v>10635.014290844301</v>
      </c>
      <c r="D17" s="32">
        <f t="shared" si="1"/>
        <v>-25905.246779740482</v>
      </c>
      <c r="E17" s="32">
        <f t="shared" si="1"/>
        <v>-20449.189867232701</v>
      </c>
      <c r="F17" s="32">
        <f t="shared" si="1"/>
        <v>-16181.518283236706</v>
      </c>
      <c r="G17" s="32">
        <f t="shared" si="1"/>
        <v>-12798.274824119886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30" t="s">
        <v>192</v>
      </c>
      <c r="B18" s="31">
        <f t="shared" ref="B18:G18" si="2">SUM(B14:B17)</f>
        <v>39575</v>
      </c>
      <c r="C18" s="32">
        <f t="shared" si="2"/>
        <v>85791.933656415815</v>
      </c>
      <c r="D18" s="32">
        <f t="shared" si="2"/>
        <v>49327.082215644419</v>
      </c>
      <c r="E18" s="32">
        <f t="shared" si="2"/>
        <v>50586.751382013746</v>
      </c>
      <c r="F18" s="32">
        <f t="shared" si="2"/>
        <v>52333.508214367124</v>
      </c>
      <c r="G18" s="32">
        <f t="shared" si="2"/>
        <v>54487.342590053668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30" t="s">
        <v>137</v>
      </c>
      <c r="B19" s="31">
        <f>Historical!C45</f>
        <v>12734</v>
      </c>
      <c r="C19" s="32">
        <f>B19+'Forecast IS'!C22+'Forecast CF'!C15+'M&amp;A Model'!C7</f>
        <v>24223.834820000004</v>
      </c>
      <c r="D19" s="32">
        <f>C19+'Forecast IS'!D22+'Forecast CF'!D15</f>
        <v>33778.537897400005</v>
      </c>
      <c r="E19" s="32">
        <f>D19+'Forecast IS'!E22+'Forecast CF'!E15</f>
        <v>44438.887710218012</v>
      </c>
      <c r="F19" s="32">
        <f>E19+'Forecast IS'!F22+'Forecast CF'!F15</f>
        <v>56107.15918833328</v>
      </c>
      <c r="G19" s="32">
        <f>F19+'Forecast IS'!G22+'Forecast CF'!G15</f>
        <v>68540.346113268606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 t="s">
        <v>193</v>
      </c>
      <c r="B20" s="13">
        <f t="shared" ref="B20:G20" si="3">B13-B18-B19</f>
        <v>0</v>
      </c>
      <c r="C20" s="13">
        <f t="shared" si="3"/>
        <v>0</v>
      </c>
      <c r="D20" s="13">
        <f t="shared" si="3"/>
        <v>0</v>
      </c>
      <c r="E20" s="13">
        <f t="shared" si="3"/>
        <v>0</v>
      </c>
      <c r="F20" s="13">
        <f t="shared" si="3"/>
        <v>0</v>
      </c>
      <c r="G20" s="13">
        <f t="shared" si="3"/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4" t="s">
        <v>194</v>
      </c>
      <c r="B21" s="14"/>
      <c r="C21" s="14"/>
      <c r="D21" s="14"/>
      <c r="E21" s="14"/>
      <c r="F21" s="14"/>
      <c r="G21" s="14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4" t="s">
        <v>194</v>
      </c>
      <c r="B22" s="14"/>
      <c r="C22" s="14"/>
      <c r="D22" s="14"/>
      <c r="E22" s="14"/>
      <c r="F22" s="14"/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32">
      <c r="A23" s="13" t="s">
        <v>195</v>
      </c>
      <c r="B23" s="13" t="s">
        <v>196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58.4">
      <c r="A24" s="13" t="s">
        <v>197</v>
      </c>
      <c r="B24" s="13" t="s">
        <v>198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G1"/>
  </mergeCells>
  <conditionalFormatting sqref="C19:G19">
    <cfRule type="cellIs" dxfId="6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"/>
  <sheetViews>
    <sheetView workbookViewId="0">
      <selection sqref="A1:G1"/>
    </sheetView>
  </sheetViews>
  <sheetFormatPr defaultRowHeight="13.8"/>
  <cols>
    <col min="1" max="1" width="36" customWidth="1"/>
    <col min="2" max="7" width="15" customWidth="1"/>
  </cols>
  <sheetData>
    <row r="1" spans="1:17">
      <c r="A1" s="47" t="s">
        <v>199</v>
      </c>
      <c r="B1" s="47"/>
      <c r="C1" s="47"/>
      <c r="D1" s="47"/>
      <c r="E1" s="47"/>
      <c r="F1" s="47"/>
      <c r="G1" s="47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7" t="s">
        <v>160</v>
      </c>
      <c r="B3" s="17" t="s">
        <v>95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3" t="s">
        <v>181</v>
      </c>
      <c r="B4" s="28">
        <f>Historical!C56</f>
        <v>3030</v>
      </c>
      <c r="C4" s="18">
        <f>'Forecast IS'!C22</f>
        <v>9150.918525000001</v>
      </c>
      <c r="D4" s="18">
        <f>'Forecast IS'!D22</f>
        <v>11943.378846750002</v>
      </c>
      <c r="E4" s="18">
        <f>'Forecast IS'!E22</f>
        <v>13325.437266022502</v>
      </c>
      <c r="F4" s="18">
        <f>'Forecast IS'!F22</f>
        <v>14585.33934764408</v>
      </c>
      <c r="G4" s="18">
        <f>'Forecast IS'!G22</f>
        <v>15541.483656169161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>
      <c r="A5" s="13" t="s">
        <v>148</v>
      </c>
      <c r="B5" s="28">
        <f>Historical!C57</f>
        <v>1945</v>
      </c>
      <c r="C5" s="18">
        <f>'Forecast IS'!C15</f>
        <v>5169.1215499999998</v>
      </c>
      <c r="D5" s="18">
        <f>'Forecast IS'!D15</f>
        <v>6472.9465585000007</v>
      </c>
      <c r="E5" s="18">
        <f>'Forecast IS'!E15</f>
        <v>6755.4600975949998</v>
      </c>
      <c r="F5" s="18">
        <f>'Forecast IS'!F15</f>
        <v>7052.6318028266505</v>
      </c>
      <c r="G5" s="18">
        <f>'Forecast IS'!G15</f>
        <v>7365.334212376516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>
      <c r="A6" s="13" t="s">
        <v>200</v>
      </c>
      <c r="B6" s="28">
        <f>0</f>
        <v>0</v>
      </c>
      <c r="C6" s="18">
        <f>'Forecast BS'!B7-'Forecast BS'!C7</f>
        <v>-10628.19175</v>
      </c>
      <c r="D6" s="18">
        <f>'Forecast BS'!C7-'Forecast BS'!D7</f>
        <v>-13099.140422500002</v>
      </c>
      <c r="E6" s="18">
        <f>'Forecast BS'!D7-'Forecast BS'!E7</f>
        <v>-13703.326932075001</v>
      </c>
      <c r="F6" s="18">
        <f>'Forecast BS'!E7-'Forecast BS'!F7</f>
        <v>-14340.423897720255</v>
      </c>
      <c r="G6" s="18">
        <f>'Forecast BS'!F7-'Forecast BS'!G7</f>
        <v>-15012.453573372666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13" t="s">
        <v>201</v>
      </c>
      <c r="B7" s="28">
        <f>0</f>
        <v>0</v>
      </c>
      <c r="C7" s="18">
        <f>ABS('M&amp;A Model'!C16)</f>
        <v>250</v>
      </c>
      <c r="D7" s="18">
        <f>ABS('M&amp;A Model'!D16)</f>
        <v>100</v>
      </c>
      <c r="E7" s="18">
        <f>0</f>
        <v>0</v>
      </c>
      <c r="F7" s="18">
        <f>0</f>
        <v>0</v>
      </c>
      <c r="G7" s="18">
        <f>0</f>
        <v>0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30" t="s">
        <v>202</v>
      </c>
      <c r="B8" s="31">
        <f>Historical!C60</f>
        <v>14981</v>
      </c>
      <c r="C8" s="32">
        <f>SUM(C4:C7)</f>
        <v>3941.8483250000008</v>
      </c>
      <c r="D8" s="32">
        <f>SUM(D4:D7)</f>
        <v>5417.1849827499991</v>
      </c>
      <c r="E8" s="32">
        <f>SUM(E4:E7)</f>
        <v>6377.5704315424991</v>
      </c>
      <c r="F8" s="32">
        <f>SUM(F4:F7)</f>
        <v>7297.5472527504753</v>
      </c>
      <c r="G8" s="32">
        <f>SUM(G4:G7)</f>
        <v>7894.3642951730108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3" t="s">
        <v>203</v>
      </c>
      <c r="B9" s="28">
        <f>Historical!C61</f>
        <v>-2103</v>
      </c>
      <c r="C9" s="18">
        <f>-'Forecast IS'!C7*Assumptions!E8</f>
        <v>-6763.3947500000013</v>
      </c>
      <c r="D9" s="18">
        <f>-'Forecast IS'!D7*Assumptions!E8</f>
        <v>-8335.816632500002</v>
      </c>
      <c r="E9" s="18">
        <f>-'Forecast IS'!E7*Assumptions!E8</f>
        <v>-8720.2989567750028</v>
      </c>
      <c r="F9" s="18">
        <f>-'Forecast IS'!F7*Assumptions!E8</f>
        <v>-9125.7242985492521</v>
      </c>
      <c r="G9" s="18">
        <f>-'Forecast IS'!G7*Assumptions!E8</f>
        <v>-9553.3795466916999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 t="s">
        <v>204</v>
      </c>
      <c r="B10" s="28">
        <f>0</f>
        <v>0</v>
      </c>
      <c r="C10" s="18">
        <f>-'M&amp;A Model'!C4</f>
        <v>-41691</v>
      </c>
      <c r="D10" s="18">
        <f>0</f>
        <v>0</v>
      </c>
      <c r="E10" s="18">
        <f>0</f>
        <v>0</v>
      </c>
      <c r="F10" s="18">
        <f>0</f>
        <v>0</v>
      </c>
      <c r="G10" s="18">
        <f>0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30" t="s">
        <v>205</v>
      </c>
      <c r="B11" s="31">
        <f>Historical!C62</f>
        <v>-3451</v>
      </c>
      <c r="C11" s="32">
        <f>SUM(C9:C10)</f>
        <v>-48454.394749999999</v>
      </c>
      <c r="D11" s="32">
        <f>SUM(D9:D10)</f>
        <v>-8335.816632500002</v>
      </c>
      <c r="E11" s="32">
        <f>SUM(E9:E10)</f>
        <v>-8720.2989567750028</v>
      </c>
      <c r="F11" s="32">
        <f>SUM(F9:F10)</f>
        <v>-9125.7242985492521</v>
      </c>
      <c r="G11" s="32">
        <f>SUM(G9:G10)</f>
        <v>-9553.3795466916999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 t="s">
        <v>206</v>
      </c>
      <c r="B12" s="28">
        <f>0</f>
        <v>0</v>
      </c>
      <c r="C12" s="18">
        <f>'M&amp;A Model'!C6</f>
        <v>33352.800000000003</v>
      </c>
      <c r="D12" s="18">
        <f>0</f>
        <v>0</v>
      </c>
      <c r="E12" s="18">
        <f>0</f>
        <v>0</v>
      </c>
      <c r="F12" s="18">
        <f>0</f>
        <v>0</v>
      </c>
      <c r="G12" s="18">
        <f>0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 t="s">
        <v>207</v>
      </c>
      <c r="B13" s="28">
        <f>0</f>
        <v>0</v>
      </c>
      <c r="C13" s="18">
        <f>'M&amp;A Model'!C7</f>
        <v>4169.1000000000004</v>
      </c>
      <c r="D13" s="18">
        <f>0</f>
        <v>0</v>
      </c>
      <c r="E13" s="18">
        <f>0</f>
        <v>0</v>
      </c>
      <c r="F13" s="18">
        <f>0</f>
        <v>0</v>
      </c>
      <c r="G13" s="18">
        <f>0</f>
        <v>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 t="s">
        <v>208</v>
      </c>
      <c r="B14" s="28">
        <f>Historical!C64</f>
        <v>-884</v>
      </c>
      <c r="C14" s="18">
        <f>-'M&amp;A Model'!C10</f>
        <v>-2501.46</v>
      </c>
      <c r="D14" s="18">
        <f>-'M&amp;A Model'!D10</f>
        <v>-1876.095</v>
      </c>
      <c r="E14" s="18">
        <f>-'M&amp;A Model'!E10</f>
        <v>-1407.07125</v>
      </c>
      <c r="F14" s="18">
        <f>-'M&amp;A Model'!F10</f>
        <v>-1055.3034375</v>
      </c>
      <c r="G14" s="18">
        <f>-'M&amp;A Model'!G10</f>
        <v>-791.47757812500004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 t="s">
        <v>209</v>
      </c>
      <c r="B15" s="28">
        <f>0</f>
        <v>0</v>
      </c>
      <c r="C15" s="18">
        <f>-'Forecast IS'!C22*Assumptions!E10</f>
        <v>-1830.1837050000004</v>
      </c>
      <c r="D15" s="18">
        <f>-'Forecast IS'!D22*Assumptions!E10</f>
        <v>-2388.6757693500003</v>
      </c>
      <c r="E15" s="18">
        <f>-'Forecast IS'!E22*Assumptions!E10</f>
        <v>-2665.0874532045004</v>
      </c>
      <c r="F15" s="18">
        <f>-'Forecast IS'!F22*Assumptions!E10</f>
        <v>-2917.0678695288161</v>
      </c>
      <c r="G15" s="18">
        <f>-'Forecast IS'!G22*Assumptions!E10</f>
        <v>-3108.2967312338324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30" t="s">
        <v>210</v>
      </c>
      <c r="B16" s="31">
        <f>Historical!C65</f>
        <v>-5223</v>
      </c>
      <c r="C16" s="32">
        <f>SUM(C12:C15)</f>
        <v>33190.256294999999</v>
      </c>
      <c r="D16" s="32">
        <f>SUM(D12:D15)</f>
        <v>-4264.7707693500006</v>
      </c>
      <c r="E16" s="32">
        <f>SUM(E12:E15)</f>
        <v>-4072.1587032045004</v>
      </c>
      <c r="F16" s="32">
        <f>SUM(F12:F15)</f>
        <v>-3972.3713070288159</v>
      </c>
      <c r="G16" s="32">
        <f>SUM(G12:G15)</f>
        <v>-3899.7743093588324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30" t="s">
        <v>211</v>
      </c>
      <c r="B17" s="31">
        <f>Historical!C66</f>
        <v>6307</v>
      </c>
      <c r="C17" s="32">
        <f>SUM(C8,C11,C16)</f>
        <v>-11322.290130000001</v>
      </c>
      <c r="D17" s="32">
        <f>SUM(D8,D11,D16)</f>
        <v>-7183.4024191000035</v>
      </c>
      <c r="E17" s="32">
        <f>SUM(E8,E11,E16)</f>
        <v>-6414.8872284370045</v>
      </c>
      <c r="F17" s="32">
        <f>SUM(F8,F11,F16)</f>
        <v>-5800.5483528275927</v>
      </c>
      <c r="G17" s="32">
        <f>SUM(G8,G11,G16)</f>
        <v>-5558.7895608775216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 t="s">
        <v>212</v>
      </c>
      <c r="B18" s="28">
        <f>Historical!C41</f>
        <v>6899</v>
      </c>
      <c r="C18" s="18">
        <f>B19</f>
        <v>6899</v>
      </c>
      <c r="D18" s="18">
        <f>C19</f>
        <v>-4423.2901300000012</v>
      </c>
      <c r="E18" s="18">
        <f>D19</f>
        <v>-11606.692549100004</v>
      </c>
      <c r="F18" s="18">
        <f>E19</f>
        <v>-18021.579777537008</v>
      </c>
      <c r="G18" s="18">
        <f>F19</f>
        <v>-23822.128130364603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30" t="s">
        <v>213</v>
      </c>
      <c r="B19" s="31">
        <f>Historical!C41</f>
        <v>6899</v>
      </c>
      <c r="C19" s="32">
        <f>C18+C17</f>
        <v>-4423.2901300000012</v>
      </c>
      <c r="D19" s="32">
        <f>D18+D17</f>
        <v>-11606.692549100004</v>
      </c>
      <c r="E19" s="32">
        <f>E18+E17</f>
        <v>-18021.579777537008</v>
      </c>
      <c r="F19" s="32">
        <f>F18+F17</f>
        <v>-23822.128130364603</v>
      </c>
      <c r="G19" s="32">
        <f>G18+G17</f>
        <v>-29380.917691242124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 t="s">
        <v>158</v>
      </c>
      <c r="B20" s="18">
        <f>Historical!C67</f>
        <v>12438</v>
      </c>
      <c r="C20" s="18">
        <f>C8+C9</f>
        <v>-2821.5464250000005</v>
      </c>
      <c r="D20" s="18">
        <f>D8+D9</f>
        <v>-2918.6316497500029</v>
      </c>
      <c r="E20" s="18">
        <f>E8+E9</f>
        <v>-2342.7285252325037</v>
      </c>
      <c r="F20" s="18">
        <f>F8+F9</f>
        <v>-1828.1770457987768</v>
      </c>
      <c r="G20" s="18">
        <f>G8+G9</f>
        <v>-1659.0152515186892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G1"/>
  </mergeCells>
  <conditionalFormatting sqref="C19:G19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"/>
  <sheetViews>
    <sheetView workbookViewId="0">
      <selection sqref="A1:G1"/>
    </sheetView>
  </sheetViews>
  <sheetFormatPr defaultRowHeight="13.8"/>
  <cols>
    <col min="1" max="1" width="36" customWidth="1"/>
    <col min="2" max="7" width="15" customWidth="1"/>
  </cols>
  <sheetData>
    <row r="1" spans="1:17">
      <c r="A1" s="47" t="s">
        <v>214</v>
      </c>
      <c r="B1" s="47"/>
      <c r="C1" s="47"/>
      <c r="D1" s="47"/>
      <c r="E1" s="47"/>
      <c r="F1" s="47"/>
      <c r="G1" s="47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7" t="s">
        <v>44</v>
      </c>
      <c r="B3" s="17" t="s">
        <v>95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3" t="s">
        <v>204</v>
      </c>
      <c r="B4" s="18">
        <f>0</f>
        <v>0</v>
      </c>
      <c r="C4" s="18">
        <f>Assumptions!E29</f>
        <v>41691</v>
      </c>
      <c r="D4" s="18">
        <f>0</f>
        <v>0</v>
      </c>
      <c r="E4" s="18">
        <f>0</f>
        <v>0</v>
      </c>
      <c r="F4" s="18">
        <f>0</f>
        <v>0</v>
      </c>
      <c r="G4" s="18">
        <f>0</f>
        <v>0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>
      <c r="A5" s="13" t="s">
        <v>215</v>
      </c>
      <c r="B5" s="18">
        <f>0</f>
        <v>0</v>
      </c>
      <c r="C5" s="18">
        <f>Assumptions!E29*Assumptions!B34</f>
        <v>4169.1000000000004</v>
      </c>
      <c r="D5" s="18">
        <f>0</f>
        <v>0</v>
      </c>
      <c r="E5" s="18">
        <f>0</f>
        <v>0</v>
      </c>
      <c r="F5" s="18">
        <f>0</f>
        <v>0</v>
      </c>
      <c r="G5" s="18">
        <f>0</f>
        <v>0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>
      <c r="A6" s="13" t="s">
        <v>206</v>
      </c>
      <c r="B6" s="18">
        <f>0</f>
        <v>0</v>
      </c>
      <c r="C6" s="18">
        <f>Assumptions!E29*Assumptions!C34</f>
        <v>33352.800000000003</v>
      </c>
      <c r="D6" s="18">
        <f>0</f>
        <v>0</v>
      </c>
      <c r="E6" s="18">
        <f>0</f>
        <v>0</v>
      </c>
      <c r="F6" s="18">
        <f>0</f>
        <v>0</v>
      </c>
      <c r="G6" s="18">
        <f>0</f>
        <v>0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13" t="s">
        <v>207</v>
      </c>
      <c r="B7" s="18">
        <f>0</f>
        <v>0</v>
      </c>
      <c r="C7" s="18">
        <f>Assumptions!E29*Assumptions!D34</f>
        <v>4169.1000000000004</v>
      </c>
      <c r="D7" s="18">
        <f>0</f>
        <v>0</v>
      </c>
      <c r="E7" s="18">
        <f>0</f>
        <v>0</v>
      </c>
      <c r="F7" s="18">
        <f>0</f>
        <v>0</v>
      </c>
      <c r="G7" s="18">
        <f>0</f>
        <v>0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13" t="s">
        <v>216</v>
      </c>
      <c r="B8" s="18">
        <f>0</f>
        <v>0</v>
      </c>
      <c r="C8" s="18">
        <f>C6</f>
        <v>33352.800000000003</v>
      </c>
      <c r="D8" s="18">
        <f>C8*(1-Assumptions!F34)</f>
        <v>25014.600000000002</v>
      </c>
      <c r="E8" s="18">
        <f>D8*(1-Assumptions!F34)</f>
        <v>18760.95</v>
      </c>
      <c r="F8" s="18">
        <f>E8*(1-Assumptions!F34)</f>
        <v>14070.712500000001</v>
      </c>
      <c r="G8" s="18">
        <f>F8*(1-Assumptions!F34)</f>
        <v>10553.034375000001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3" t="s">
        <v>217</v>
      </c>
      <c r="B9" s="19">
        <f>0</f>
        <v>0</v>
      </c>
      <c r="C9" s="19">
        <f>Assumptions!E34</f>
        <v>7.4999999999999997E-2</v>
      </c>
      <c r="D9" s="19">
        <f>Assumptions!E34</f>
        <v>7.4999999999999997E-2</v>
      </c>
      <c r="E9" s="19">
        <f>Assumptions!E34</f>
        <v>7.4999999999999997E-2</v>
      </c>
      <c r="F9" s="19">
        <f>Assumptions!E34</f>
        <v>7.4999999999999997E-2</v>
      </c>
      <c r="G9" s="19">
        <f>Assumptions!E34</f>
        <v>7.4999999999999997E-2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 t="s">
        <v>218</v>
      </c>
      <c r="B10" s="18">
        <f>0</f>
        <v>0</v>
      </c>
      <c r="C10" s="18">
        <f>C8*C9</f>
        <v>2501.46</v>
      </c>
      <c r="D10" s="18">
        <f>D8*D9</f>
        <v>1876.095</v>
      </c>
      <c r="E10" s="18">
        <f>E8*E9</f>
        <v>1407.07125</v>
      </c>
      <c r="F10" s="18">
        <f>F8*F9</f>
        <v>1055.3034375</v>
      </c>
      <c r="G10" s="18">
        <f>G8*G9</f>
        <v>791.47757812500004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 t="s">
        <v>168</v>
      </c>
      <c r="B11" s="18">
        <f>0</f>
        <v>0</v>
      </c>
      <c r="C11" s="18">
        <f>Assumptions!E15*(1+Assumptions!E16)*Assumptions!E21</f>
        <v>103515</v>
      </c>
      <c r="D11" s="18">
        <f>Assumptions!E15*(1+Assumptions!E16)^2</f>
        <v>142160.6</v>
      </c>
      <c r="E11" s="18">
        <f>Assumptions!E15*(1+Assumptions!E16)^3</f>
        <v>146425.41800000001</v>
      </c>
      <c r="F11" s="18">
        <f>Assumptions!E15*(1+Assumptions!E16)^4</f>
        <v>150818.18054</v>
      </c>
      <c r="G11" s="18">
        <f>Assumptions!E15*(1+Assumptions!E16)^5</f>
        <v>155342.72595619998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 t="s">
        <v>219</v>
      </c>
      <c r="B12" s="18">
        <f>0</f>
        <v>0</v>
      </c>
      <c r="C12" s="18">
        <f>C11*Assumptions!E17</f>
        <v>8281.2000000000007</v>
      </c>
      <c r="D12" s="18">
        <f>D11*Assumptions!E17</f>
        <v>11372.848</v>
      </c>
      <c r="E12" s="18">
        <f>E11*Assumptions!E17</f>
        <v>11714.033440000001</v>
      </c>
      <c r="F12" s="18">
        <f>F11*Assumptions!E17</f>
        <v>12065.4544432</v>
      </c>
      <c r="G12" s="18">
        <f>G11*Assumptions!E17</f>
        <v>12427.418076495998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 t="s">
        <v>220</v>
      </c>
      <c r="B13" s="18">
        <f>0</f>
        <v>0</v>
      </c>
      <c r="C13" s="18">
        <f>C11*Assumptions!E18</f>
        <v>3105.45</v>
      </c>
      <c r="D13" s="18">
        <f>D11*Assumptions!E18</f>
        <v>4264.8180000000002</v>
      </c>
      <c r="E13" s="18">
        <f>E11*Assumptions!E18</f>
        <v>4392.7625399999997</v>
      </c>
      <c r="F13" s="18">
        <f>F11*Assumptions!E18</f>
        <v>4524.5454161999996</v>
      </c>
      <c r="G13" s="18">
        <f>G11*Assumptions!E18</f>
        <v>4660.2817786859996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 t="s">
        <v>221</v>
      </c>
      <c r="B14" s="18">
        <f>0</f>
        <v>0</v>
      </c>
      <c r="C14" s="18">
        <f>C12-C13</f>
        <v>5175.7500000000009</v>
      </c>
      <c r="D14" s="18">
        <f>D12-D13</f>
        <v>7108.03</v>
      </c>
      <c r="E14" s="18">
        <f>E12-E13</f>
        <v>7321.2709000000013</v>
      </c>
      <c r="F14" s="18">
        <f>F12-F13</f>
        <v>7540.9090270000006</v>
      </c>
      <c r="G14" s="18">
        <f>G12-G13</f>
        <v>7767.1362978099987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 t="s">
        <v>222</v>
      </c>
      <c r="B15" s="18">
        <f>0</f>
        <v>0</v>
      </c>
      <c r="C15" s="18">
        <f>Assumptions!E22*Assumptions!E23</f>
        <v>375</v>
      </c>
      <c r="D15" s="18">
        <f>Assumptions!E22*Assumptions!E24</f>
        <v>750</v>
      </c>
      <c r="E15" s="18">
        <f>Assumptions!E22*Assumptions!E25</f>
        <v>1125</v>
      </c>
      <c r="F15" s="18">
        <f>Assumptions!E22*Assumptions!E26</f>
        <v>1500</v>
      </c>
      <c r="G15" s="18">
        <f>Assumptions!E22*Assumptions!E26</f>
        <v>1500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 t="s">
        <v>178</v>
      </c>
      <c r="B16" s="18">
        <f>0</f>
        <v>0</v>
      </c>
      <c r="C16" s="18">
        <f>Assumptions!E27</f>
        <v>250</v>
      </c>
      <c r="D16" s="18">
        <f>Assumptions!E28</f>
        <v>100</v>
      </c>
      <c r="E16" s="18">
        <f>0</f>
        <v>0</v>
      </c>
      <c r="F16" s="18">
        <f>0</f>
        <v>0</v>
      </c>
      <c r="G16" s="18">
        <f>0</f>
        <v>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30" t="s">
        <v>223</v>
      </c>
      <c r="B17" s="32">
        <f>0</f>
        <v>0</v>
      </c>
      <c r="C17" s="32">
        <f>C14+C15-C16-C10</f>
        <v>2799.2900000000009</v>
      </c>
      <c r="D17" s="32">
        <f>D14+D15-D16-D10</f>
        <v>5881.9349999999995</v>
      </c>
      <c r="E17" s="32">
        <f>E14+E15-E16-E10</f>
        <v>7039.1996500000014</v>
      </c>
      <c r="F17" s="32">
        <f>F14+F15-F16-F10</f>
        <v>7985.6055895000018</v>
      </c>
      <c r="G17" s="32">
        <f>G14+G15-G16-G10</f>
        <v>8475.6587196849978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30" t="s">
        <v>189</v>
      </c>
      <c r="B18" s="32">
        <f>0</f>
        <v>0</v>
      </c>
      <c r="C18" s="32">
        <f>Assumptions!E29</f>
        <v>41691</v>
      </c>
      <c r="D18" s="32">
        <f>0</f>
        <v>0</v>
      </c>
      <c r="E18" s="32">
        <f>0</f>
        <v>0</v>
      </c>
      <c r="F18" s="32">
        <f>0</f>
        <v>0</v>
      </c>
      <c r="G18" s="32">
        <f>0</f>
        <v>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30" t="s">
        <v>224</v>
      </c>
      <c r="B19" s="32">
        <f>0</f>
        <v>0</v>
      </c>
      <c r="C19" s="32">
        <f>-C4</f>
        <v>-41691</v>
      </c>
      <c r="D19" s="32">
        <f>0</f>
        <v>0</v>
      </c>
      <c r="E19" s="32">
        <f>0</f>
        <v>0</v>
      </c>
      <c r="F19" s="32">
        <f>0</f>
        <v>0</v>
      </c>
      <c r="G19" s="32">
        <f>0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30" t="s">
        <v>225</v>
      </c>
      <c r="B20" s="32">
        <f>0</f>
        <v>0</v>
      </c>
      <c r="C20" s="32">
        <f>C5+C6+C7-C4</f>
        <v>0</v>
      </c>
      <c r="D20" s="32">
        <f>0</f>
        <v>0</v>
      </c>
      <c r="E20" s="32">
        <f>0</f>
        <v>0</v>
      </c>
      <c r="F20" s="32">
        <f>0</f>
        <v>0</v>
      </c>
      <c r="G20" s="32">
        <f>0</f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7" t="s">
        <v>226</v>
      </c>
      <c r="B21" s="41">
        <f>Assumptions!E11</f>
        <v>4000</v>
      </c>
      <c r="C21" s="41">
        <f>Assumptions!E11</f>
        <v>4000</v>
      </c>
      <c r="D21" s="41">
        <f>Assumptions!E11</f>
        <v>4000</v>
      </c>
      <c r="E21" s="41">
        <f>Assumptions!E11</f>
        <v>4000</v>
      </c>
      <c r="F21" s="41">
        <f>Assumptions!E11</f>
        <v>4000</v>
      </c>
      <c r="G21" s="41">
        <f>Assumptions!E11</f>
        <v>4000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 t="s">
        <v>227</v>
      </c>
      <c r="B22" s="18">
        <f>0</f>
        <v>0</v>
      </c>
      <c r="C22" s="18">
        <f>MAX(0,Assumptions!E11-'Forecast CF'!C19)</f>
        <v>8423.2901300000012</v>
      </c>
      <c r="D22" s="18">
        <f>MAX(0,Assumptions!E11-'Forecast CF'!D19)</f>
        <v>15606.692549100004</v>
      </c>
      <c r="E22" s="18">
        <f>MAX(0,Assumptions!E11-'Forecast CF'!E19)</f>
        <v>22021.579777537008</v>
      </c>
      <c r="F22" s="18">
        <f>MAX(0,Assumptions!E11-'Forecast CF'!F19)</f>
        <v>27822.128130364603</v>
      </c>
      <c r="G22" s="18">
        <f>MAX(0,Assumptions!E11-'Forecast CF'!G19)</f>
        <v>33380.917691242124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"/>
  <sheetViews>
    <sheetView topLeftCell="A39" workbookViewId="0">
      <selection sqref="A1:H1"/>
    </sheetView>
  </sheetViews>
  <sheetFormatPr defaultRowHeight="13.8"/>
  <cols>
    <col min="1" max="1" width="36" customWidth="1"/>
    <col min="2" max="7" width="15" customWidth="1"/>
    <col min="8" max="8" width="42" customWidth="1"/>
    <col min="10" max="10" width="26" customWidth="1"/>
    <col min="11" max="11" width="18" customWidth="1"/>
  </cols>
  <sheetData>
    <row r="1" spans="1:17">
      <c r="A1" s="47" t="s">
        <v>228</v>
      </c>
      <c r="B1" s="47"/>
      <c r="C1" s="47"/>
      <c r="D1" s="47"/>
      <c r="E1" s="47"/>
      <c r="F1" s="47"/>
      <c r="G1" s="47"/>
      <c r="H1" s="47"/>
      <c r="I1" s="15"/>
      <c r="J1" s="15"/>
      <c r="K1" s="15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27" t="s">
        <v>229</v>
      </c>
      <c r="B3" s="27" t="s">
        <v>95</v>
      </c>
      <c r="C3" s="27" t="s">
        <v>161</v>
      </c>
      <c r="D3" s="27" t="s">
        <v>162</v>
      </c>
      <c r="E3" s="27" t="s">
        <v>163</v>
      </c>
      <c r="F3" s="27" t="s">
        <v>164</v>
      </c>
      <c r="G3" s="27" t="s">
        <v>165</v>
      </c>
      <c r="H3" s="27" t="s">
        <v>230</v>
      </c>
      <c r="I3" s="13"/>
      <c r="J3" s="27" t="s">
        <v>231</v>
      </c>
      <c r="K3" s="13" t="str">
        <f>Assumptions!K4</f>
        <v>Base</v>
      </c>
      <c r="L3" s="13"/>
      <c r="M3" s="13"/>
      <c r="N3" s="13"/>
      <c r="O3" s="13"/>
      <c r="P3" s="13"/>
      <c r="Q3" s="13"/>
    </row>
    <row r="4" spans="1:17">
      <c r="A4" s="33" t="s">
        <v>232</v>
      </c>
      <c r="B4" s="35">
        <f>'Forecast IS'!B7</f>
        <v>83855</v>
      </c>
      <c r="C4" s="35">
        <f>'Forecast IS'!C7</f>
        <v>193239.85</v>
      </c>
      <c r="D4" s="35">
        <f>'Forecast IS'!D7</f>
        <v>238166.18950000004</v>
      </c>
      <c r="E4" s="35">
        <f>'Forecast IS'!E7</f>
        <v>249151.39876500005</v>
      </c>
      <c r="F4" s="35">
        <f>'Forecast IS'!F7</f>
        <v>260734.97995855004</v>
      </c>
      <c r="G4" s="35">
        <f>'Forecast IS'!G7</f>
        <v>272953.70133404853</v>
      </c>
      <c r="H4" s="33" t="s">
        <v>233</v>
      </c>
      <c r="I4" s="13"/>
      <c r="J4" s="27" t="s">
        <v>234</v>
      </c>
      <c r="K4" s="13" t="str">
        <f>Assumptions!K16</f>
        <v>Base</v>
      </c>
      <c r="L4" s="13"/>
      <c r="M4" s="13"/>
      <c r="N4" s="13"/>
      <c r="O4" s="13"/>
      <c r="P4" s="13"/>
      <c r="Q4" s="13"/>
    </row>
    <row r="5" spans="1:17">
      <c r="A5" s="33" t="s">
        <v>235</v>
      </c>
      <c r="B5" s="35">
        <f>'Forecast IS'!B11</f>
        <v>10314.165000000001</v>
      </c>
      <c r="C5" s="35">
        <f>'Forecast IS'!C11</f>
        <v>19871.806250000001</v>
      </c>
      <c r="D5" s="35">
        <f>'Forecast IS'!D11</f>
        <v>24123.546687500002</v>
      </c>
      <c r="E5" s="35">
        <f>'Forecast IS'!E11</f>
        <v>25679.781035625005</v>
      </c>
      <c r="F5" s="35">
        <f>'Forecast IS'!F11</f>
        <v>27305.054370518756</v>
      </c>
      <c r="G5" s="35">
        <f>'Forecast IS'!G11</f>
        <v>28628.789998727065</v>
      </c>
      <c r="H5" s="33" t="s">
        <v>236</v>
      </c>
      <c r="I5" s="13"/>
      <c r="J5" s="27" t="s">
        <v>237</v>
      </c>
      <c r="K5" s="13" t="str">
        <f>Assumptions!K33</f>
        <v>Balanced</v>
      </c>
      <c r="L5" s="13"/>
      <c r="M5" s="13"/>
      <c r="N5" s="13"/>
      <c r="O5" s="13"/>
      <c r="P5" s="13"/>
      <c r="Q5" s="13"/>
    </row>
    <row r="6" spans="1:17">
      <c r="A6" s="33" t="s">
        <v>31</v>
      </c>
      <c r="B6" s="34">
        <f>'Forecast IS'!B12</f>
        <v>0.12300000000000001</v>
      </c>
      <c r="C6" s="34">
        <f>'Forecast IS'!C12</f>
        <v>0.10283492897557103</v>
      </c>
      <c r="D6" s="34">
        <f>'Forecast IS'!D12</f>
        <v>0.1012887124664687</v>
      </c>
      <c r="E6" s="34">
        <f>'Forecast IS'!E12</f>
        <v>0.10306898200417575</v>
      </c>
      <c r="F6" s="34">
        <f>'Forecast IS'!F12</f>
        <v>0.10472340295444645</v>
      </c>
      <c r="G6" s="34">
        <f>'Forecast IS'!G12</f>
        <v>0.10488515033430645</v>
      </c>
      <c r="H6" s="33" t="s">
        <v>231</v>
      </c>
      <c r="I6" s="13"/>
      <c r="J6" s="27" t="s">
        <v>238</v>
      </c>
      <c r="K6" s="13">
        <f>'Forecast BS'!C20</f>
        <v>0</v>
      </c>
      <c r="L6" s="13"/>
      <c r="M6" s="13"/>
      <c r="N6" s="13"/>
      <c r="O6" s="13"/>
      <c r="P6" s="13"/>
      <c r="Q6" s="13"/>
    </row>
    <row r="7" spans="1:17">
      <c r="A7" s="33" t="s">
        <v>239</v>
      </c>
      <c r="B7" s="35">
        <f>'Forecast IS'!B22</f>
        <v>3030</v>
      </c>
      <c r="C7" s="35">
        <f>'Forecast IS'!C22</f>
        <v>9150.918525000001</v>
      </c>
      <c r="D7" s="35">
        <f>'Forecast IS'!D22</f>
        <v>11943.378846750002</v>
      </c>
      <c r="E7" s="35">
        <f>'Forecast IS'!E22</f>
        <v>13325.437266022502</v>
      </c>
      <c r="F7" s="35">
        <f>'Forecast IS'!F22</f>
        <v>14585.33934764408</v>
      </c>
      <c r="G7" s="35">
        <f>'Forecast IS'!G22</f>
        <v>15541.483656169161</v>
      </c>
      <c r="H7" s="33" t="s">
        <v>240</v>
      </c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33" t="s">
        <v>241</v>
      </c>
      <c r="B8" s="35">
        <f>'Forecast CF'!B20</f>
        <v>12438</v>
      </c>
      <c r="C8" s="35">
        <f>'Forecast CF'!C20</f>
        <v>-2821.5464250000005</v>
      </c>
      <c r="D8" s="35">
        <f>'Forecast CF'!D20</f>
        <v>-2918.6316497500029</v>
      </c>
      <c r="E8" s="35">
        <f>'Forecast CF'!E20</f>
        <v>-2342.7285252325037</v>
      </c>
      <c r="F8" s="35">
        <f>'Forecast CF'!F20</f>
        <v>-1828.1770457987768</v>
      </c>
      <c r="G8" s="35">
        <f>'Forecast CF'!G20</f>
        <v>-1659.0152515186892</v>
      </c>
      <c r="H8" s="33" t="s">
        <v>242</v>
      </c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33" t="s">
        <v>243</v>
      </c>
      <c r="B9" s="35">
        <f>'Forecast CF'!B19</f>
        <v>6899</v>
      </c>
      <c r="C9" s="35">
        <f>'Forecast CF'!C19</f>
        <v>-4423.2901300000012</v>
      </c>
      <c r="D9" s="35">
        <f>'Forecast CF'!D19</f>
        <v>-11606.692549100004</v>
      </c>
      <c r="E9" s="35">
        <f>'Forecast CF'!E19</f>
        <v>-18021.579777537008</v>
      </c>
      <c r="F9" s="35">
        <f>'Forecast CF'!F19</f>
        <v>-23822.128130364603</v>
      </c>
      <c r="G9" s="35">
        <f>'Forecast CF'!G19</f>
        <v>-29380.917691242124</v>
      </c>
      <c r="H9" s="33" t="s">
        <v>244</v>
      </c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33" t="s">
        <v>245</v>
      </c>
      <c r="B10" s="35">
        <f>'Forecast BS'!B14</f>
        <v>4817</v>
      </c>
      <c r="C10" s="35">
        <f>'Forecast BS'!C14</f>
        <v>38169.800000000003</v>
      </c>
      <c r="D10" s="35">
        <f>'Forecast BS'!D14</f>
        <v>29831.600000000002</v>
      </c>
      <c r="E10" s="35">
        <f>'Forecast BS'!E14</f>
        <v>23577.95</v>
      </c>
      <c r="F10" s="35">
        <f>'Forecast BS'!F14</f>
        <v>18887.712500000001</v>
      </c>
      <c r="G10" s="35">
        <f>'Forecast BS'!G14</f>
        <v>15370.034375000001</v>
      </c>
      <c r="H10" s="33" t="s">
        <v>246</v>
      </c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4" t="s">
        <v>247</v>
      </c>
      <c r="B12" s="14"/>
      <c r="C12" s="14"/>
      <c r="D12" s="14"/>
      <c r="E12" s="14"/>
      <c r="F12" s="14"/>
      <c r="G12" s="14"/>
      <c r="H12" s="14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26.4">
      <c r="A13" s="27" t="s">
        <v>248</v>
      </c>
      <c r="B13" s="27" t="s">
        <v>249</v>
      </c>
      <c r="C13" s="27" t="s">
        <v>72</v>
      </c>
      <c r="D13" s="27" t="s">
        <v>250</v>
      </c>
      <c r="E13" s="27"/>
      <c r="F13" s="27"/>
      <c r="G13" s="27"/>
      <c r="H13" s="27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26.4">
      <c r="A14" s="33" t="s">
        <v>251</v>
      </c>
      <c r="B14" s="36" t="s">
        <v>252</v>
      </c>
      <c r="C14" s="36" t="s">
        <v>72</v>
      </c>
      <c r="D14" s="36" t="s">
        <v>253</v>
      </c>
      <c r="E14" s="36"/>
      <c r="F14" s="36"/>
      <c r="G14" s="36"/>
      <c r="H14" s="33"/>
      <c r="I14" s="13"/>
      <c r="J14" s="13"/>
      <c r="K14" s="13"/>
      <c r="L14" s="13"/>
      <c r="M14" s="13"/>
      <c r="N14" s="13"/>
      <c r="O14" s="13"/>
      <c r="P14" s="13"/>
      <c r="Q14" s="13"/>
    </row>
    <row r="15" spans="1:17" ht="26.4">
      <c r="A15" s="33" t="s">
        <v>254</v>
      </c>
      <c r="B15" s="36" t="s">
        <v>255</v>
      </c>
      <c r="C15" s="36" t="s">
        <v>72</v>
      </c>
      <c r="D15" s="36" t="s">
        <v>256</v>
      </c>
      <c r="E15" s="36"/>
      <c r="F15" s="36"/>
      <c r="G15" s="36"/>
      <c r="H15" s="33"/>
      <c r="I15" s="13"/>
      <c r="J15" s="13"/>
      <c r="K15" s="13"/>
      <c r="L15" s="13"/>
      <c r="M15" s="13"/>
      <c r="N15" s="13"/>
      <c r="O15" s="13"/>
      <c r="P15" s="13"/>
      <c r="Q15" s="13"/>
    </row>
    <row r="16" spans="1:17" ht="26.4">
      <c r="A16" s="33" t="s">
        <v>257</v>
      </c>
      <c r="B16" s="36" t="s">
        <v>258</v>
      </c>
      <c r="C16" s="36" t="s">
        <v>72</v>
      </c>
      <c r="D16" s="36" t="s">
        <v>259</v>
      </c>
      <c r="E16" s="36"/>
      <c r="F16" s="36"/>
      <c r="G16" s="36"/>
      <c r="H16" s="3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48" t="s">
        <v>260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7" t="s">
        <v>261</v>
      </c>
      <c r="B20" s="17" t="s">
        <v>95</v>
      </c>
      <c r="C20" s="17" t="s">
        <v>161</v>
      </c>
      <c r="D20" s="17" t="s">
        <v>162</v>
      </c>
      <c r="E20" s="17" t="s">
        <v>163</v>
      </c>
      <c r="F20" s="17" t="s">
        <v>164</v>
      </c>
      <c r="G20" s="17" t="s">
        <v>165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 t="s">
        <v>262</v>
      </c>
      <c r="B21" s="18">
        <f>'Forecast IS'!B7</f>
        <v>83855</v>
      </c>
      <c r="C21" s="18">
        <f>'Forecast IS'!C7</f>
        <v>193239.85</v>
      </c>
      <c r="D21" s="18">
        <f>'Forecast IS'!D7</f>
        <v>238166.18950000004</v>
      </c>
      <c r="E21" s="18">
        <f>'Forecast IS'!E7</f>
        <v>249151.39876500005</v>
      </c>
      <c r="F21" s="18">
        <f>'Forecast IS'!F7</f>
        <v>260734.97995855004</v>
      </c>
      <c r="G21" s="18">
        <f>'Forecast IS'!G7</f>
        <v>272953.70133404853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 t="s">
        <v>263</v>
      </c>
      <c r="B22" s="18">
        <f>'Forecast IS'!B11</f>
        <v>10314.165000000001</v>
      </c>
      <c r="C22" s="18">
        <f>'Forecast IS'!C11</f>
        <v>19871.806250000001</v>
      </c>
      <c r="D22" s="18">
        <f>'Forecast IS'!D11</f>
        <v>24123.546687500002</v>
      </c>
      <c r="E22" s="18">
        <f>'Forecast IS'!E11</f>
        <v>25679.781035625005</v>
      </c>
      <c r="F22" s="18">
        <f>'Forecast IS'!F11</f>
        <v>27305.054370518756</v>
      </c>
      <c r="G22" s="18">
        <f>'Forecast IS'!G11</f>
        <v>28628.789998727065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13" t="s">
        <v>181</v>
      </c>
      <c r="B23" s="18">
        <f>'Forecast IS'!B22</f>
        <v>3030</v>
      </c>
      <c r="C23" s="18">
        <f>'Forecast IS'!C22</f>
        <v>9150.918525000001</v>
      </c>
      <c r="D23" s="18">
        <f>'Forecast IS'!D22</f>
        <v>11943.378846750002</v>
      </c>
      <c r="E23" s="18">
        <f>'Forecast IS'!E22</f>
        <v>13325.437266022502</v>
      </c>
      <c r="F23" s="18">
        <f>'Forecast IS'!F22</f>
        <v>14585.33934764408</v>
      </c>
      <c r="G23" s="18">
        <f>'Forecast IS'!G22</f>
        <v>15541.483656169161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13" t="s">
        <v>213</v>
      </c>
      <c r="B24" s="18">
        <f>'Forecast CF'!B19</f>
        <v>6899</v>
      </c>
      <c r="C24" s="18">
        <f>'Forecast CF'!C19</f>
        <v>-4423.2901300000012</v>
      </c>
      <c r="D24" s="18">
        <f>'Forecast CF'!D19</f>
        <v>-11606.692549100004</v>
      </c>
      <c r="E24" s="18">
        <f>'Forecast CF'!E19</f>
        <v>-18021.579777537008</v>
      </c>
      <c r="F24" s="18">
        <f>'Forecast CF'!F19</f>
        <v>-23822.128130364603</v>
      </c>
      <c r="G24" s="18">
        <f>'Forecast CF'!G19</f>
        <v>-29380.917691242124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7" t="s">
        <v>264</v>
      </c>
      <c r="B27" s="17" t="s">
        <v>161</v>
      </c>
      <c r="C27" s="17" t="s">
        <v>162</v>
      </c>
      <c r="D27" s="17" t="s">
        <v>163</v>
      </c>
      <c r="E27" s="17" t="s">
        <v>164</v>
      </c>
      <c r="F27" s="17" t="s">
        <v>165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 t="s">
        <v>221</v>
      </c>
      <c r="B28" s="18">
        <f>'M&amp;A Model'!C14</f>
        <v>5175.7500000000009</v>
      </c>
      <c r="C28" s="18">
        <f>'M&amp;A Model'!D14</f>
        <v>7108.03</v>
      </c>
      <c r="D28" s="18">
        <f>'M&amp;A Model'!E14</f>
        <v>7321.2709000000013</v>
      </c>
      <c r="E28" s="18">
        <f>'M&amp;A Model'!F14</f>
        <v>7540.9090270000006</v>
      </c>
      <c r="F28" s="18">
        <f>'M&amp;A Model'!G14</f>
        <v>7767.1362978099987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 t="s">
        <v>222</v>
      </c>
      <c r="B29" s="18">
        <f>'M&amp;A Model'!C15</f>
        <v>375</v>
      </c>
      <c r="C29" s="18">
        <f>'M&amp;A Model'!D15</f>
        <v>750</v>
      </c>
      <c r="D29" s="18">
        <f>'M&amp;A Model'!E15</f>
        <v>1125</v>
      </c>
      <c r="E29" s="18">
        <f>'M&amp;A Model'!F15</f>
        <v>1500</v>
      </c>
      <c r="F29" s="18">
        <f>'M&amp;A Model'!G15</f>
        <v>1500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 t="s">
        <v>178</v>
      </c>
      <c r="B30" s="18">
        <f>'M&amp;A Model'!C16</f>
        <v>250</v>
      </c>
      <c r="C30" s="18">
        <f>'M&amp;A Model'!D16</f>
        <v>100</v>
      </c>
      <c r="D30" s="18">
        <f>'M&amp;A Model'!E16</f>
        <v>0</v>
      </c>
      <c r="E30" s="18">
        <f>'M&amp;A Model'!F16</f>
        <v>0</v>
      </c>
      <c r="F30" s="18">
        <f>'M&amp;A Model'!G16</f>
        <v>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 t="s">
        <v>218</v>
      </c>
      <c r="B31" s="18">
        <f>'M&amp;A Model'!C10</f>
        <v>2501.46</v>
      </c>
      <c r="C31" s="18">
        <f>'M&amp;A Model'!D10</f>
        <v>1876.095</v>
      </c>
      <c r="D31" s="18">
        <f>'M&amp;A Model'!E10</f>
        <v>1407.07125</v>
      </c>
      <c r="E31" s="18">
        <f>'M&amp;A Model'!F10</f>
        <v>1055.3034375</v>
      </c>
      <c r="F31" s="18">
        <f>'M&amp;A Model'!G10</f>
        <v>791.47757812500004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49" t="s">
        <v>265</v>
      </c>
      <c r="B52" s="49"/>
      <c r="C52" s="49"/>
      <c r="D52" s="49"/>
      <c r="E52" s="49"/>
      <c r="F52" s="49"/>
      <c r="G52" s="13"/>
      <c r="H52" s="13"/>
      <c r="I52" s="49" t="s">
        <v>266</v>
      </c>
      <c r="J52" s="49"/>
      <c r="K52" s="49"/>
      <c r="L52" s="49"/>
      <c r="M52" s="49"/>
      <c r="N52" s="49"/>
      <c r="O52" s="49"/>
      <c r="P52" s="49"/>
      <c r="Q52" s="49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ht="26.4">
      <c r="A54" s="17" t="s">
        <v>267</v>
      </c>
      <c r="B54" s="17" t="s">
        <v>268</v>
      </c>
      <c r="C54" s="17" t="s">
        <v>269</v>
      </c>
      <c r="D54" s="17" t="s">
        <v>270</v>
      </c>
      <c r="E54" s="17" t="s">
        <v>271</v>
      </c>
      <c r="F54" s="17"/>
      <c r="G54" s="13"/>
      <c r="H54" s="13"/>
      <c r="I54" s="16" t="s">
        <v>261</v>
      </c>
      <c r="J54" s="16" t="s">
        <v>272</v>
      </c>
      <c r="K54" s="13"/>
      <c r="L54" s="13"/>
      <c r="M54" s="13"/>
      <c r="N54" s="13"/>
      <c r="O54" s="13"/>
      <c r="P54" s="13"/>
      <c r="Q54" s="13"/>
    </row>
    <row r="55" spans="1:17" ht="39.6">
      <c r="A55" s="13" t="s">
        <v>18</v>
      </c>
      <c r="B55" s="19">
        <v>0.03</v>
      </c>
      <c r="C55" s="19">
        <v>0.115</v>
      </c>
      <c r="D55" s="18">
        <f>Historical!C4*(1+B55)^5</f>
        <v>97210.927500426493</v>
      </c>
      <c r="E55" s="18">
        <f>D55*C55</f>
        <v>11179.256662549047</v>
      </c>
      <c r="F55" s="18"/>
      <c r="G55" s="13"/>
      <c r="H55" s="13"/>
      <c r="I55" s="13" t="s">
        <v>273</v>
      </c>
      <c r="J55" s="18">
        <f>'Forecast CF'!C19</f>
        <v>-4423.2901300000012</v>
      </c>
      <c r="K55" s="13"/>
      <c r="L55" s="13"/>
      <c r="M55" s="13"/>
      <c r="N55" s="13"/>
      <c r="O55" s="13"/>
      <c r="P55" s="13"/>
      <c r="Q55" s="13"/>
    </row>
    <row r="56" spans="1:17" ht="39.6">
      <c r="A56" s="13" t="s">
        <v>30</v>
      </c>
      <c r="B56" s="19">
        <v>7.0000000000000007E-2</v>
      </c>
      <c r="C56" s="19">
        <v>0.125</v>
      </c>
      <c r="D56" s="18">
        <f>Historical!C4*(1+B56)^5</f>
        <v>117610.97537784852</v>
      </c>
      <c r="E56" s="18">
        <f>D56*C56</f>
        <v>14701.371922231065</v>
      </c>
      <c r="F56" s="18"/>
      <c r="G56" s="13"/>
      <c r="H56" s="13"/>
      <c r="I56" s="13" t="s">
        <v>226</v>
      </c>
      <c r="J56" s="18">
        <f>Assumptions!E11</f>
        <v>4000</v>
      </c>
      <c r="K56" s="13"/>
      <c r="L56" s="13"/>
      <c r="M56" s="13"/>
      <c r="N56" s="13"/>
      <c r="O56" s="13"/>
      <c r="P56" s="13"/>
      <c r="Q56" s="13"/>
    </row>
    <row r="57" spans="1:17" ht="39.6">
      <c r="A57" s="13" t="s">
        <v>19</v>
      </c>
      <c r="B57" s="19">
        <v>0.1</v>
      </c>
      <c r="C57" s="19">
        <v>0.13</v>
      </c>
      <c r="D57" s="18">
        <f>Historical!C4*(1+B57)^5</f>
        <v>135049.31605000005</v>
      </c>
      <c r="E57" s="18">
        <f>D57*C57</f>
        <v>17556.411086500008</v>
      </c>
      <c r="F57" s="18"/>
      <c r="G57" s="13"/>
      <c r="H57" s="13"/>
      <c r="I57" s="39" t="s">
        <v>274</v>
      </c>
      <c r="J57" s="40">
        <f>'M&amp;A Model'!C22</f>
        <v>8423.2901300000012</v>
      </c>
      <c r="K57" s="39"/>
      <c r="L57" s="39"/>
      <c r="M57" s="39"/>
      <c r="N57" s="39"/>
      <c r="O57" s="39"/>
      <c r="P57" s="39"/>
      <c r="Q57" s="39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4">
    <mergeCell ref="A1:H1"/>
    <mergeCell ref="A18:K18"/>
    <mergeCell ref="A52:F52"/>
    <mergeCell ref="I52:Q52"/>
  </mergeCells>
  <conditionalFormatting sqref="C9:G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>
      <selection sqref="A1:D1"/>
    </sheetView>
  </sheetViews>
  <sheetFormatPr defaultRowHeight="13.8"/>
  <cols>
    <col min="1" max="1" width="18" customWidth="1"/>
    <col min="2" max="2" width="40" customWidth="1"/>
    <col min="3" max="3" width="38" customWidth="1"/>
    <col min="4" max="4" width="60" customWidth="1"/>
  </cols>
  <sheetData>
    <row r="1" spans="1:11">
      <c r="A1" s="46" t="s">
        <v>275</v>
      </c>
      <c r="B1" s="43"/>
      <c r="C1" s="43"/>
      <c r="D1" s="43"/>
      <c r="E1" s="1"/>
      <c r="F1" s="1"/>
      <c r="G1" s="1"/>
      <c r="H1" s="1"/>
      <c r="I1" s="1"/>
      <c r="J1" s="1"/>
      <c r="K1" s="1"/>
    </row>
    <row r="2" spans="1:11">
      <c r="A2" s="3"/>
      <c r="B2" s="3"/>
      <c r="C2" s="3"/>
      <c r="D2" s="3"/>
      <c r="E2" s="1"/>
      <c r="F2" s="1"/>
      <c r="G2" s="1"/>
      <c r="H2" s="1"/>
      <c r="I2" s="1"/>
      <c r="J2" s="1"/>
      <c r="K2" s="1"/>
    </row>
    <row r="3" spans="1:11">
      <c r="A3" s="4" t="s">
        <v>276</v>
      </c>
      <c r="B3" s="4" t="s">
        <v>277</v>
      </c>
      <c r="C3" s="4" t="s">
        <v>278</v>
      </c>
      <c r="D3" s="4" t="s">
        <v>279</v>
      </c>
      <c r="E3" s="1"/>
      <c r="F3" s="1"/>
      <c r="G3" s="1"/>
      <c r="H3" s="1"/>
      <c r="I3" s="1"/>
      <c r="J3" s="1"/>
      <c r="K3" s="1"/>
    </row>
    <row r="4" spans="1:11">
      <c r="A4" s="3" t="s">
        <v>276</v>
      </c>
      <c r="B4" s="3" t="s">
        <v>277</v>
      </c>
      <c r="C4" s="3" t="s">
        <v>280</v>
      </c>
      <c r="D4" s="3" t="s">
        <v>279</v>
      </c>
      <c r="E4" s="1"/>
      <c r="F4" s="1"/>
      <c r="G4" s="1"/>
      <c r="H4" s="1"/>
      <c r="I4" s="1"/>
      <c r="J4" s="1"/>
      <c r="K4" s="1"/>
    </row>
    <row r="5" spans="1:11">
      <c r="A5" s="3" t="s">
        <v>276</v>
      </c>
      <c r="B5" s="3" t="s">
        <v>277</v>
      </c>
      <c r="C5" s="3" t="s">
        <v>281</v>
      </c>
      <c r="D5" s="3" t="s">
        <v>279</v>
      </c>
      <c r="E5" s="1"/>
      <c r="F5" s="1"/>
      <c r="G5" s="1"/>
      <c r="H5" s="1"/>
      <c r="I5" s="1"/>
      <c r="J5" s="1"/>
      <c r="K5" s="1"/>
    </row>
    <row r="6" spans="1:11">
      <c r="A6" s="3" t="s">
        <v>276</v>
      </c>
      <c r="B6" s="3" t="s">
        <v>277</v>
      </c>
      <c r="C6" s="3" t="s">
        <v>282</v>
      </c>
      <c r="D6" s="3" t="s">
        <v>283</v>
      </c>
      <c r="E6" s="1"/>
      <c r="F6" s="1"/>
      <c r="G6" s="1"/>
      <c r="H6" s="1"/>
      <c r="I6" s="1"/>
      <c r="J6" s="1"/>
      <c r="K6" s="1"/>
    </row>
    <row r="7" spans="1:11" ht="27.6">
      <c r="A7" s="3" t="s">
        <v>276</v>
      </c>
      <c r="B7" s="3" t="s">
        <v>277</v>
      </c>
      <c r="C7" s="3" t="s">
        <v>284</v>
      </c>
      <c r="D7" s="3" t="s">
        <v>285</v>
      </c>
      <c r="E7" s="1"/>
      <c r="F7" s="1"/>
      <c r="G7" s="1"/>
      <c r="H7" s="1"/>
      <c r="I7" s="1"/>
      <c r="J7" s="1"/>
      <c r="K7" s="1"/>
    </row>
    <row r="8" spans="1:11">
      <c r="A8" s="3" t="s">
        <v>276</v>
      </c>
      <c r="B8" s="3" t="s">
        <v>277</v>
      </c>
      <c r="C8" s="3" t="s">
        <v>286</v>
      </c>
      <c r="D8" s="3" t="s">
        <v>287</v>
      </c>
      <c r="E8" s="1"/>
      <c r="F8" s="1"/>
      <c r="G8" s="1"/>
      <c r="H8" s="1"/>
      <c r="I8" s="1"/>
      <c r="J8" s="1"/>
      <c r="K8" s="1"/>
    </row>
    <row r="9" spans="1:11" ht="27.6">
      <c r="A9" s="3" t="s">
        <v>288</v>
      </c>
      <c r="B9" s="3" t="s">
        <v>289</v>
      </c>
      <c r="C9" s="3" t="s">
        <v>290</v>
      </c>
      <c r="D9" s="3" t="s">
        <v>291</v>
      </c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topLeftCell="F100" workbookViewId="0">
      <selection sqref="A1:F1"/>
    </sheetView>
  </sheetViews>
  <sheetFormatPr defaultRowHeight="13.8"/>
  <cols>
    <col min="1" max="1" width="34" customWidth="1"/>
    <col min="2" max="2" width="18" customWidth="1"/>
    <col min="3" max="3" width="20" customWidth="1"/>
    <col min="4" max="4" width="28" customWidth="1"/>
    <col min="5" max="5" width="20" customWidth="1"/>
    <col min="6" max="6" width="34" customWidth="1"/>
  </cols>
  <sheetData>
    <row r="1" spans="1:26">
      <c r="A1" s="47" t="s">
        <v>292</v>
      </c>
      <c r="B1" s="47"/>
      <c r="C1" s="47"/>
      <c r="D1" s="47"/>
      <c r="E1" s="47"/>
      <c r="F1" s="47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7" t="s">
        <v>93</v>
      </c>
      <c r="B3" s="17" t="s">
        <v>94</v>
      </c>
      <c r="C3" s="17" t="s">
        <v>95</v>
      </c>
      <c r="D3" s="17" t="s">
        <v>293</v>
      </c>
      <c r="E3" s="17" t="s">
        <v>294</v>
      </c>
      <c r="F3" s="17" t="s">
        <v>295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4">
      <c r="A4" s="13" t="s">
        <v>97</v>
      </c>
      <c r="B4" s="21">
        <v>58217</v>
      </c>
      <c r="C4" s="21">
        <v>83855</v>
      </c>
      <c r="D4" s="13" t="s">
        <v>296</v>
      </c>
      <c r="E4" s="13" t="s">
        <v>72</v>
      </c>
      <c r="F4" s="13" t="s">
        <v>297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6.4">
      <c r="A5" s="13" t="s">
        <v>99</v>
      </c>
      <c r="B5" s="21">
        <v>877</v>
      </c>
      <c r="C5" s="21">
        <v>1124</v>
      </c>
      <c r="D5" s="13" t="s">
        <v>296</v>
      </c>
      <c r="E5" s="13" t="s">
        <v>72</v>
      </c>
      <c r="F5" s="13" t="s">
        <v>298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6.4">
      <c r="A6" s="13" t="s">
        <v>100</v>
      </c>
      <c r="B6" s="21">
        <v>59094</v>
      </c>
      <c r="C6" s="21">
        <v>84979</v>
      </c>
      <c r="D6" s="13" t="s">
        <v>296</v>
      </c>
      <c r="E6" s="13" t="s">
        <v>72</v>
      </c>
      <c r="F6" s="13" t="s">
        <v>299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6.4">
      <c r="A7" s="13" t="s">
        <v>101</v>
      </c>
      <c r="B7" s="21">
        <v>31167</v>
      </c>
      <c r="C7" s="21">
        <v>48840</v>
      </c>
      <c r="D7" s="13" t="s">
        <v>296</v>
      </c>
      <c r="E7" s="13" t="s">
        <v>72</v>
      </c>
      <c r="F7" s="13" t="s">
        <v>299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6.4">
      <c r="A8" s="13" t="s">
        <v>102</v>
      </c>
      <c r="B8" s="21">
        <v>6014</v>
      </c>
      <c r="C8" s="21">
        <v>8184</v>
      </c>
      <c r="D8" s="13" t="s">
        <v>296</v>
      </c>
      <c r="E8" s="13" t="s">
        <v>72</v>
      </c>
      <c r="F8" s="13" t="s">
        <v>299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6.4">
      <c r="A9" s="13" t="s">
        <v>103</v>
      </c>
      <c r="B9" s="21">
        <v>2015</v>
      </c>
      <c r="C9" s="21">
        <v>-292</v>
      </c>
      <c r="D9" s="13" t="s">
        <v>296</v>
      </c>
      <c r="E9" s="13" t="s">
        <v>72</v>
      </c>
      <c r="F9" s="13" t="s">
        <v>299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.4">
      <c r="A10" s="13" t="s">
        <v>104</v>
      </c>
      <c r="B10" s="21">
        <v>4223</v>
      </c>
      <c r="C10" s="21">
        <v>5804</v>
      </c>
      <c r="D10" s="13" t="s">
        <v>296</v>
      </c>
      <c r="E10" s="13" t="s">
        <v>72</v>
      </c>
      <c r="F10" s="13" t="s">
        <v>299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6.4">
      <c r="A11" s="13" t="s">
        <v>105</v>
      </c>
      <c r="B11" s="21">
        <v>1079</v>
      </c>
      <c r="C11" s="21">
        <v>874</v>
      </c>
      <c r="D11" s="13" t="s">
        <v>296</v>
      </c>
      <c r="E11" s="13" t="s">
        <v>72</v>
      </c>
      <c r="F11" s="13" t="s">
        <v>299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6.4">
      <c r="A12" s="13" t="s">
        <v>106</v>
      </c>
      <c r="B12" s="21">
        <v>91</v>
      </c>
      <c r="C12" s="21">
        <v>-100</v>
      </c>
      <c r="D12" s="13" t="s">
        <v>296</v>
      </c>
      <c r="E12" s="13" t="s">
        <v>72</v>
      </c>
      <c r="F12" s="13" t="s">
        <v>299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6.4">
      <c r="A13" s="13" t="s">
        <v>300</v>
      </c>
      <c r="B13" s="21">
        <v>1690</v>
      </c>
      <c r="C13" s="21">
        <v>1945</v>
      </c>
      <c r="D13" s="13" t="s">
        <v>296</v>
      </c>
      <c r="E13" s="13" t="s">
        <v>72</v>
      </c>
      <c r="F13" s="13" t="s">
        <v>301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6.4">
      <c r="A14" s="13" t="s">
        <v>302</v>
      </c>
      <c r="B14" s="21">
        <v>814</v>
      </c>
      <c r="C14" s="21">
        <v>789</v>
      </c>
      <c r="D14" s="13" t="s">
        <v>296</v>
      </c>
      <c r="E14" s="13" t="s">
        <v>72</v>
      </c>
      <c r="F14" s="13" t="s">
        <v>299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6.4">
      <c r="A15" s="13" t="s">
        <v>109</v>
      </c>
      <c r="B15" s="21">
        <v>8672</v>
      </c>
      <c r="C15" s="21">
        <v>11689</v>
      </c>
      <c r="D15" s="13" t="s">
        <v>296</v>
      </c>
      <c r="E15" s="13" t="s">
        <v>72</v>
      </c>
      <c r="F15" s="13" t="s">
        <v>299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6.4">
      <c r="A16" s="13" t="s">
        <v>110</v>
      </c>
      <c r="B16" s="21">
        <v>0</v>
      </c>
      <c r="C16" s="21">
        <v>2418</v>
      </c>
      <c r="D16" s="13" t="s">
        <v>296</v>
      </c>
      <c r="E16" s="13" t="s">
        <v>72</v>
      </c>
      <c r="F16" s="13" t="s">
        <v>303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6.4">
      <c r="A17" s="13" t="s">
        <v>304</v>
      </c>
      <c r="B17" s="21">
        <v>-951</v>
      </c>
      <c r="C17" s="21">
        <v>-1094</v>
      </c>
      <c r="D17" s="13" t="s">
        <v>296</v>
      </c>
      <c r="E17" s="13" t="s">
        <v>72</v>
      </c>
      <c r="F17" s="13" t="s">
        <v>299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6.4">
      <c r="A18" s="13" t="s">
        <v>112</v>
      </c>
      <c r="B18" s="21">
        <v>54814</v>
      </c>
      <c r="C18" s="21">
        <v>79057</v>
      </c>
      <c r="D18" s="13" t="s">
        <v>296</v>
      </c>
      <c r="E18" s="13" t="s">
        <v>72</v>
      </c>
      <c r="F18" s="13" t="s">
        <v>305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6.4">
      <c r="A19" s="13" t="s">
        <v>113</v>
      </c>
      <c r="B19" s="21">
        <v>125</v>
      </c>
      <c r="C19" s="21">
        <v>169</v>
      </c>
      <c r="D19" s="13" t="s">
        <v>296</v>
      </c>
      <c r="E19" s="13" t="s">
        <v>72</v>
      </c>
      <c r="F19" s="13" t="s">
        <v>299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6.4">
      <c r="A20" s="13" t="s">
        <v>306</v>
      </c>
      <c r="B20" s="21">
        <v>4405</v>
      </c>
      <c r="C20" s="21">
        <v>6091</v>
      </c>
      <c r="D20" s="13" t="s">
        <v>296</v>
      </c>
      <c r="E20" s="13" t="s">
        <v>72</v>
      </c>
      <c r="F20" s="13" t="s">
        <v>299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6.4">
      <c r="A21" s="13" t="s">
        <v>115</v>
      </c>
      <c r="B21" s="21">
        <v>317</v>
      </c>
      <c r="C21" s="21">
        <v>1428</v>
      </c>
      <c r="D21" s="13" t="s">
        <v>296</v>
      </c>
      <c r="E21" s="13" t="s">
        <v>72</v>
      </c>
      <c r="F21" s="13" t="s">
        <v>307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6.4">
      <c r="A22" s="13" t="s">
        <v>116</v>
      </c>
      <c r="B22" s="21">
        <v>4088</v>
      </c>
      <c r="C22" s="21">
        <v>4663</v>
      </c>
      <c r="D22" s="13" t="s">
        <v>296</v>
      </c>
      <c r="E22" s="13" t="s">
        <v>72</v>
      </c>
      <c r="F22" s="13" t="s">
        <v>299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6.4">
      <c r="A23" s="13" t="s">
        <v>117</v>
      </c>
      <c r="B23" s="21">
        <v>893</v>
      </c>
      <c r="C23" s="21">
        <v>1633</v>
      </c>
      <c r="D23" s="13" t="s">
        <v>296</v>
      </c>
      <c r="E23" s="13" t="s">
        <v>72</v>
      </c>
      <c r="F23" s="13" t="s">
        <v>308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6.4">
      <c r="A24" s="13" t="s">
        <v>118</v>
      </c>
      <c r="B24" s="21">
        <v>3195</v>
      </c>
      <c r="C24" s="21">
        <v>3030</v>
      </c>
      <c r="D24" s="13" t="s">
        <v>296</v>
      </c>
      <c r="E24" s="13" t="s">
        <v>72</v>
      </c>
      <c r="F24" s="13" t="s">
        <v>309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22"/>
      <c r="C25" s="2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22"/>
      <c r="C26" s="2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7" t="s">
        <v>119</v>
      </c>
      <c r="B27" s="23" t="s">
        <v>94</v>
      </c>
      <c r="C27" s="23" t="s">
        <v>95</v>
      </c>
      <c r="D27" s="17" t="s">
        <v>293</v>
      </c>
      <c r="E27" s="17" t="s">
        <v>294</v>
      </c>
      <c r="F27" s="17" t="s">
        <v>295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6.4">
      <c r="A28" s="13" t="s">
        <v>310</v>
      </c>
      <c r="B28" s="21">
        <v>10886</v>
      </c>
      <c r="C28" s="21">
        <v>11036</v>
      </c>
      <c r="D28" s="13" t="s">
        <v>311</v>
      </c>
      <c r="E28" s="13" t="s">
        <v>72</v>
      </c>
      <c r="F28" s="13" t="s">
        <v>312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6.4">
      <c r="A29" s="13" t="s">
        <v>121</v>
      </c>
      <c r="B29" s="21">
        <v>719</v>
      </c>
      <c r="C29" s="21">
        <v>712</v>
      </c>
      <c r="D29" s="13" t="s">
        <v>311</v>
      </c>
      <c r="E29" s="13" t="s">
        <v>72</v>
      </c>
      <c r="F29" s="13" t="s">
        <v>313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6.4">
      <c r="A30" s="13" t="s">
        <v>122</v>
      </c>
      <c r="B30" s="21">
        <v>799</v>
      </c>
      <c r="C30" s="21">
        <v>812</v>
      </c>
      <c r="D30" s="13" t="s">
        <v>311</v>
      </c>
      <c r="E30" s="13" t="s">
        <v>72</v>
      </c>
      <c r="F30" s="13" t="s">
        <v>314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6.4">
      <c r="A31" s="13" t="s">
        <v>315</v>
      </c>
      <c r="B31" s="21">
        <v>1979</v>
      </c>
      <c r="C31" s="21">
        <v>2114</v>
      </c>
      <c r="D31" s="13" t="s">
        <v>311</v>
      </c>
      <c r="E31" s="13" t="s">
        <v>72</v>
      </c>
      <c r="F31" s="13" t="s">
        <v>316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6.4">
      <c r="A32" s="13" t="s">
        <v>317</v>
      </c>
      <c r="B32" s="21">
        <v>1156</v>
      </c>
      <c r="C32" s="21">
        <v>1314</v>
      </c>
      <c r="D32" s="13" t="s">
        <v>311</v>
      </c>
      <c r="E32" s="13" t="s">
        <v>72</v>
      </c>
      <c r="F32" s="13" t="s">
        <v>318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6.4">
      <c r="A33" s="13" t="s">
        <v>319</v>
      </c>
      <c r="B33" s="21">
        <v>1272</v>
      </c>
      <c r="C33" s="21">
        <v>1462</v>
      </c>
      <c r="D33" s="13" t="s">
        <v>311</v>
      </c>
      <c r="E33" s="13" t="s">
        <v>72</v>
      </c>
      <c r="F33" s="13" t="s">
        <v>320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6.4">
      <c r="A34" s="13" t="s">
        <v>125</v>
      </c>
      <c r="B34" s="21">
        <v>974</v>
      </c>
      <c r="C34" s="21">
        <v>6547</v>
      </c>
      <c r="D34" s="13" t="s">
        <v>311</v>
      </c>
      <c r="E34" s="13" t="s">
        <v>72</v>
      </c>
      <c r="F34" s="13" t="s">
        <v>321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6.4">
      <c r="A35" s="13" t="s">
        <v>126</v>
      </c>
      <c r="B35" s="21">
        <v>25</v>
      </c>
      <c r="C35" s="21">
        <v>28</v>
      </c>
      <c r="D35" s="13" t="s">
        <v>311</v>
      </c>
      <c r="E35" s="13" t="s">
        <v>72</v>
      </c>
      <c r="F35" s="13" t="s">
        <v>322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6.4">
      <c r="A36" s="13" t="s">
        <v>127</v>
      </c>
      <c r="B36" s="21">
        <v>4424</v>
      </c>
      <c r="C36" s="21">
        <v>4389</v>
      </c>
      <c r="D36" s="13" t="s">
        <v>311</v>
      </c>
      <c r="E36" s="13" t="s">
        <v>72</v>
      </c>
      <c r="F36" s="13" t="s">
        <v>322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6.4">
      <c r="A37" s="13" t="s">
        <v>128</v>
      </c>
      <c r="B37" s="21">
        <v>329</v>
      </c>
      <c r="C37" s="21">
        <v>235</v>
      </c>
      <c r="D37" s="13" t="s">
        <v>311</v>
      </c>
      <c r="E37" s="13" t="s">
        <v>72</v>
      </c>
      <c r="F37" s="13" t="s">
        <v>323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6.4">
      <c r="A38" s="13" t="s">
        <v>129</v>
      </c>
      <c r="B38" s="21">
        <v>318</v>
      </c>
      <c r="C38" s="21">
        <v>451</v>
      </c>
      <c r="D38" s="13" t="s">
        <v>311</v>
      </c>
      <c r="E38" s="13" t="s">
        <v>72</v>
      </c>
      <c r="F38" s="13" t="s">
        <v>324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6.4">
      <c r="A39" s="13" t="s">
        <v>130</v>
      </c>
      <c r="B39" s="21">
        <v>4625</v>
      </c>
      <c r="C39" s="21">
        <v>5448</v>
      </c>
      <c r="D39" s="13" t="s">
        <v>311</v>
      </c>
      <c r="E39" s="13" t="s">
        <v>72</v>
      </c>
      <c r="F39" s="13" t="s">
        <v>325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6.4">
      <c r="A40" s="13" t="s">
        <v>131</v>
      </c>
      <c r="B40" s="21">
        <v>3036</v>
      </c>
      <c r="C40" s="21">
        <v>5274</v>
      </c>
      <c r="D40" s="13" t="s">
        <v>311</v>
      </c>
      <c r="E40" s="13" t="s">
        <v>72</v>
      </c>
      <c r="F40" s="13" t="s">
        <v>326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6.4">
      <c r="A41" s="13" t="s">
        <v>132</v>
      </c>
      <c r="B41" s="21">
        <v>3064</v>
      </c>
      <c r="C41" s="21">
        <v>2721</v>
      </c>
      <c r="D41" s="13" t="s">
        <v>311</v>
      </c>
      <c r="E41" s="13" t="s">
        <v>72</v>
      </c>
      <c r="F41" s="13" t="s">
        <v>325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6.4">
      <c r="A42" s="13" t="s">
        <v>327</v>
      </c>
      <c r="B42" s="21">
        <v>1033</v>
      </c>
      <c r="C42" s="21">
        <v>6899</v>
      </c>
      <c r="D42" s="13" t="s">
        <v>311</v>
      </c>
      <c r="E42" s="13" t="s">
        <v>72</v>
      </c>
      <c r="F42" s="13" t="s">
        <v>328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6.4">
      <c r="A43" s="13" t="s">
        <v>329</v>
      </c>
      <c r="B43" s="21">
        <v>1233</v>
      </c>
      <c r="C43" s="21">
        <v>877</v>
      </c>
      <c r="D43" s="13" t="s">
        <v>311</v>
      </c>
      <c r="E43" s="13" t="s">
        <v>72</v>
      </c>
      <c r="F43" s="13" t="s">
        <v>326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6.4">
      <c r="A44" s="13" t="s">
        <v>330</v>
      </c>
      <c r="B44" s="21">
        <v>37</v>
      </c>
      <c r="C44" s="21">
        <v>32</v>
      </c>
      <c r="D44" s="13" t="s">
        <v>311</v>
      </c>
      <c r="E44" s="13" t="s">
        <v>72</v>
      </c>
      <c r="F44" s="13" t="s">
        <v>322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6.4">
      <c r="A45" s="13" t="s">
        <v>134</v>
      </c>
      <c r="B45" s="21">
        <v>9914</v>
      </c>
      <c r="C45" s="21">
        <v>1019</v>
      </c>
      <c r="D45" s="13" t="s">
        <v>311</v>
      </c>
      <c r="E45" s="13" t="s">
        <v>72</v>
      </c>
      <c r="F45" s="13" t="s">
        <v>322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6.4">
      <c r="A46" s="13" t="s">
        <v>135</v>
      </c>
      <c r="B46" s="21">
        <v>1026</v>
      </c>
      <c r="C46" s="21">
        <v>924</v>
      </c>
      <c r="D46" s="13" t="s">
        <v>311</v>
      </c>
      <c r="E46" s="13" t="s">
        <v>72</v>
      </c>
      <c r="F46" s="13" t="s">
        <v>325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6.4">
      <c r="A47" s="13" t="s">
        <v>136</v>
      </c>
      <c r="B47" s="21">
        <v>46851</v>
      </c>
      <c r="C47" s="21">
        <v>52309</v>
      </c>
      <c r="D47" s="13" t="s">
        <v>311</v>
      </c>
      <c r="E47" s="13" t="s">
        <v>72</v>
      </c>
      <c r="F47" s="13" t="s">
        <v>331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6.4">
      <c r="A48" s="13" t="s">
        <v>137</v>
      </c>
      <c r="B48" s="21">
        <v>10533</v>
      </c>
      <c r="C48" s="21">
        <v>12734</v>
      </c>
      <c r="D48" s="13" t="s">
        <v>311</v>
      </c>
      <c r="E48" s="13" t="s">
        <v>72</v>
      </c>
      <c r="F48" s="13" t="s">
        <v>332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6.4">
      <c r="A49" s="13" t="s">
        <v>138</v>
      </c>
      <c r="B49" s="21">
        <v>9156</v>
      </c>
      <c r="C49" s="21">
        <v>4817</v>
      </c>
      <c r="D49" s="13" t="s">
        <v>333</v>
      </c>
      <c r="E49" s="13" t="s">
        <v>72</v>
      </c>
      <c r="F49" s="13" t="s">
        <v>334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6.4">
      <c r="A50" s="13" t="s">
        <v>139</v>
      </c>
      <c r="B50" s="21">
        <v>769</v>
      </c>
      <c r="C50" s="21">
        <v>798</v>
      </c>
      <c r="D50" s="13" t="s">
        <v>333</v>
      </c>
      <c r="E50" s="13" t="s">
        <v>72</v>
      </c>
      <c r="F50" s="13" t="s">
        <v>335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6.4">
      <c r="A51" s="13" t="s">
        <v>140</v>
      </c>
      <c r="B51" s="21">
        <v>14376</v>
      </c>
      <c r="C51" s="21">
        <v>15704</v>
      </c>
      <c r="D51" s="13" t="s">
        <v>296</v>
      </c>
      <c r="E51" s="13" t="s">
        <v>72</v>
      </c>
      <c r="F51" s="13" t="s">
        <v>325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6.4">
      <c r="A52" s="13" t="s">
        <v>141</v>
      </c>
      <c r="B52" s="21">
        <v>4996</v>
      </c>
      <c r="C52" s="21">
        <v>9404</v>
      </c>
      <c r="D52" s="13" t="s">
        <v>296</v>
      </c>
      <c r="E52" s="13" t="s">
        <v>72</v>
      </c>
      <c r="F52" s="13" t="s">
        <v>336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6.4">
      <c r="A53" s="13" t="s">
        <v>142</v>
      </c>
      <c r="B53" s="21">
        <v>4819</v>
      </c>
      <c r="C53" s="21">
        <v>5900</v>
      </c>
      <c r="D53" s="13" t="s">
        <v>296</v>
      </c>
      <c r="E53" s="13" t="s">
        <v>72</v>
      </c>
      <c r="F53" s="13" t="s">
        <v>336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6.4">
      <c r="A54" s="13" t="s">
        <v>143</v>
      </c>
      <c r="B54" s="21">
        <v>888</v>
      </c>
      <c r="C54" s="21">
        <v>1414</v>
      </c>
      <c r="D54" s="13" t="s">
        <v>296</v>
      </c>
      <c r="E54" s="13" t="s">
        <v>72</v>
      </c>
      <c r="F54" s="13" t="s">
        <v>337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6.4">
      <c r="A55" s="13" t="s">
        <v>144</v>
      </c>
      <c r="B55" s="21">
        <v>26</v>
      </c>
      <c r="C55" s="21">
        <v>59</v>
      </c>
      <c r="D55" s="13" t="s">
        <v>296</v>
      </c>
      <c r="E55" s="13" t="s">
        <v>72</v>
      </c>
      <c r="F55" s="13" t="s">
        <v>337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22"/>
      <c r="C56" s="2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22"/>
      <c r="C57" s="2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7" t="s">
        <v>338</v>
      </c>
      <c r="B58" s="23" t="s">
        <v>146</v>
      </c>
      <c r="C58" s="23" t="s">
        <v>95</v>
      </c>
      <c r="D58" s="17" t="s">
        <v>293</v>
      </c>
      <c r="E58" s="17" t="s">
        <v>294</v>
      </c>
      <c r="F58" s="17" t="s">
        <v>295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6.4">
      <c r="A59" s="13" t="s">
        <v>147</v>
      </c>
      <c r="B59" s="21">
        <v>3195</v>
      </c>
      <c r="C59" s="21">
        <v>3030</v>
      </c>
      <c r="D59" s="13" t="s">
        <v>339</v>
      </c>
      <c r="E59" s="13" t="s">
        <v>72</v>
      </c>
      <c r="F59" s="13" t="s">
        <v>340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6.4">
      <c r="A60" s="13" t="s">
        <v>148</v>
      </c>
      <c r="B60" s="21">
        <v>1690</v>
      </c>
      <c r="C60" s="21">
        <v>1945</v>
      </c>
      <c r="D60" s="13" t="s">
        <v>339</v>
      </c>
      <c r="E60" s="13" t="s">
        <v>72</v>
      </c>
      <c r="F60" s="13" t="s">
        <v>341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6.4">
      <c r="A61" s="13" t="s">
        <v>149</v>
      </c>
      <c r="B61" s="21">
        <v>1838</v>
      </c>
      <c r="C61" s="21">
        <v>6657</v>
      </c>
      <c r="D61" s="13" t="s">
        <v>339</v>
      </c>
      <c r="E61" s="13" t="s">
        <v>72</v>
      </c>
      <c r="F61" s="13" t="s">
        <v>342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6.4">
      <c r="A62" s="13" t="s">
        <v>150</v>
      </c>
      <c r="B62" s="21">
        <v>-20</v>
      </c>
      <c r="C62" s="21">
        <v>-942</v>
      </c>
      <c r="D62" s="13" t="s">
        <v>339</v>
      </c>
      <c r="E62" s="13" t="s">
        <v>72</v>
      </c>
      <c r="F62" s="13" t="s">
        <v>343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6.4">
      <c r="A63" s="13" t="s">
        <v>151</v>
      </c>
      <c r="B63" s="21">
        <v>8547</v>
      </c>
      <c r="C63" s="21">
        <v>14981</v>
      </c>
      <c r="D63" s="13" t="s">
        <v>339</v>
      </c>
      <c r="E63" s="13" t="s">
        <v>72</v>
      </c>
      <c r="F63" s="13" t="s">
        <v>344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6.4">
      <c r="A64" s="13" t="s">
        <v>152</v>
      </c>
      <c r="B64" s="21">
        <v>-1542</v>
      </c>
      <c r="C64" s="21">
        <v>-2103</v>
      </c>
      <c r="D64" s="13" t="s">
        <v>339</v>
      </c>
      <c r="E64" s="13" t="s">
        <v>72</v>
      </c>
      <c r="F64" s="13" t="s">
        <v>203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6.4">
      <c r="A65" s="13" t="s">
        <v>153</v>
      </c>
      <c r="B65" s="21">
        <v>-3884</v>
      </c>
      <c r="C65" s="21">
        <v>-3451</v>
      </c>
      <c r="D65" s="13" t="s">
        <v>339</v>
      </c>
      <c r="E65" s="13" t="s">
        <v>72</v>
      </c>
      <c r="F65" s="13" t="s">
        <v>345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6.4">
      <c r="A66" s="13" t="s">
        <v>154</v>
      </c>
      <c r="B66" s="21">
        <v>-6964</v>
      </c>
      <c r="C66" s="21">
        <v>-4339</v>
      </c>
      <c r="D66" s="13" t="s">
        <v>346</v>
      </c>
      <c r="E66" s="13" t="s">
        <v>72</v>
      </c>
      <c r="F66" s="13" t="s">
        <v>347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6.4">
      <c r="A67" s="13" t="s">
        <v>155</v>
      </c>
      <c r="B67" s="21">
        <v>-1006</v>
      </c>
      <c r="C67" s="21">
        <v>-884</v>
      </c>
      <c r="D67" s="13" t="s">
        <v>346</v>
      </c>
      <c r="E67" s="13" t="s">
        <v>72</v>
      </c>
      <c r="F67" s="13" t="s">
        <v>347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6.4">
      <c r="A68" s="13" t="s">
        <v>156</v>
      </c>
      <c r="B68" s="21">
        <v>-7970</v>
      </c>
      <c r="C68" s="21">
        <v>-5223</v>
      </c>
      <c r="D68" s="13" t="s">
        <v>346</v>
      </c>
      <c r="E68" s="13" t="s">
        <v>72</v>
      </c>
      <c r="F68" s="13" t="s">
        <v>347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6.4">
      <c r="A69" s="13" t="s">
        <v>157</v>
      </c>
      <c r="B69" s="21">
        <v>-3307</v>
      </c>
      <c r="C69" s="21">
        <v>6307</v>
      </c>
      <c r="D69" s="13" t="s">
        <v>346</v>
      </c>
      <c r="E69" s="13" t="s">
        <v>72</v>
      </c>
      <c r="F69" s="13" t="s">
        <v>348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6.4">
      <c r="A70" s="13" t="s">
        <v>158</v>
      </c>
      <c r="B70" s="21">
        <v>5880</v>
      </c>
      <c r="C70" s="21">
        <v>12438</v>
      </c>
      <c r="D70" s="13" t="s">
        <v>346</v>
      </c>
      <c r="E70" s="13" t="s">
        <v>72</v>
      </c>
      <c r="F70" s="13" t="s">
        <v>349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22"/>
      <c r="C71" s="2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22"/>
      <c r="C72" s="2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7" t="s">
        <v>350</v>
      </c>
      <c r="B73" s="23" t="s">
        <v>272</v>
      </c>
      <c r="C73" s="23" t="s">
        <v>351</v>
      </c>
      <c r="D73" s="17" t="s">
        <v>293</v>
      </c>
      <c r="E73" s="17" t="s">
        <v>294</v>
      </c>
      <c r="F73" s="17" t="s">
        <v>295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6.4">
      <c r="A74" s="13" t="s">
        <v>352</v>
      </c>
      <c r="B74" s="21">
        <v>13.4</v>
      </c>
      <c r="C74" s="22" t="s">
        <v>353</v>
      </c>
      <c r="D74" s="13" t="s">
        <v>354</v>
      </c>
      <c r="E74" s="13" t="s">
        <v>72</v>
      </c>
      <c r="F74" s="13" t="s">
        <v>355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 t="s">
        <v>356</v>
      </c>
      <c r="B75" s="21">
        <v>140000</v>
      </c>
      <c r="C75" s="22" t="s">
        <v>357</v>
      </c>
      <c r="D75" s="13" t="s">
        <v>358</v>
      </c>
      <c r="E75" s="13" t="s">
        <v>72</v>
      </c>
      <c r="F75" s="13" t="s">
        <v>359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6.4">
      <c r="A76" s="13" t="s">
        <v>360</v>
      </c>
      <c r="B76" s="21">
        <v>3.8</v>
      </c>
      <c r="C76" s="22" t="s">
        <v>353</v>
      </c>
      <c r="D76" s="13" t="s">
        <v>354</v>
      </c>
      <c r="E76" s="13" t="s">
        <v>72</v>
      </c>
      <c r="F76" s="13" t="s">
        <v>361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6.4">
      <c r="A77" s="13" t="s">
        <v>204</v>
      </c>
      <c r="B77" s="21">
        <v>41691</v>
      </c>
      <c r="C77" s="22" t="s">
        <v>44</v>
      </c>
      <c r="D77" s="13" t="s">
        <v>354</v>
      </c>
      <c r="E77" s="13" t="s">
        <v>72</v>
      </c>
      <c r="F77" s="13" t="s">
        <v>362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6.4">
      <c r="A78" s="13" t="s">
        <v>363</v>
      </c>
      <c r="B78" s="21" t="s">
        <v>364</v>
      </c>
      <c r="C78" s="22" t="s">
        <v>365</v>
      </c>
      <c r="D78" s="13" t="s">
        <v>354</v>
      </c>
      <c r="E78" s="13" t="s">
        <v>72</v>
      </c>
      <c r="F78" s="13" t="s">
        <v>366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22"/>
      <c r="C79" s="2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22"/>
      <c r="C80" s="2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22"/>
      <c r="C81" s="2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22"/>
      <c r="C82" s="2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22"/>
      <c r="C83" s="2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22"/>
      <c r="C84" s="2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22"/>
      <c r="C85" s="2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22"/>
      <c r="C86" s="2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22"/>
      <c r="C87" s="2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22"/>
      <c r="C88" s="2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22"/>
      <c r="C89" s="2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22"/>
      <c r="C90" s="2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22"/>
      <c r="C91" s="2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22"/>
      <c r="C92" s="2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22"/>
      <c r="C93" s="2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22"/>
      <c r="C94" s="2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22"/>
      <c r="C95" s="2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22"/>
      <c r="C96" s="2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22"/>
      <c r="C97" s="2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22"/>
      <c r="C98" s="2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22"/>
      <c r="C99" s="2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22"/>
      <c r="C100" s="2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22"/>
      <c r="C101" s="2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22"/>
      <c r="C102" s="2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22"/>
      <c r="C103" s="2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22"/>
      <c r="C104" s="2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22"/>
      <c r="C105" s="2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22"/>
      <c r="C106" s="2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22"/>
      <c r="C107" s="2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22"/>
      <c r="C108" s="2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22"/>
      <c r="C109" s="2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22"/>
      <c r="C110" s="2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22"/>
      <c r="C111" s="2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22"/>
      <c r="C112" s="2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22"/>
      <c r="C113" s="2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22"/>
      <c r="C114" s="2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22"/>
      <c r="C115" s="2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22"/>
      <c r="C116" s="2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22"/>
      <c r="C117" s="2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22"/>
      <c r="C118" s="2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22"/>
      <c r="C119" s="2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22"/>
      <c r="C120" s="2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22"/>
      <c r="C121" s="2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22"/>
      <c r="C122" s="2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22"/>
      <c r="C123" s="2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22"/>
      <c r="C124" s="2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22"/>
      <c r="C125" s="2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22"/>
      <c r="C126" s="2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22"/>
      <c r="C127" s="2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22"/>
      <c r="C128" s="2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22"/>
      <c r="C129" s="2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22"/>
      <c r="C130" s="2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22"/>
      <c r="C131" s="2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22"/>
      <c r="C132" s="2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22"/>
      <c r="C133" s="2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22"/>
      <c r="C134" s="2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22"/>
      <c r="C135" s="2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22"/>
      <c r="C136" s="2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22"/>
      <c r="C137" s="2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22"/>
      <c r="C138" s="2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22"/>
      <c r="C139" s="2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22"/>
      <c r="C140" s="2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22"/>
      <c r="C141" s="2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22"/>
      <c r="C142" s="2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22"/>
      <c r="C143" s="2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22"/>
      <c r="C144" s="2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22"/>
      <c r="C145" s="2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22"/>
      <c r="C146" s="2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22"/>
      <c r="C147" s="2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22"/>
      <c r="C148" s="2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22"/>
      <c r="C149" s="2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22"/>
      <c r="C150" s="2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22"/>
      <c r="C151" s="2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22"/>
      <c r="C152" s="2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22"/>
      <c r="C153" s="2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22"/>
      <c r="C154" s="2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22"/>
      <c r="C155" s="2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22"/>
      <c r="C156" s="2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22"/>
      <c r="C157" s="2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22"/>
      <c r="C158" s="2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22"/>
      <c r="C159" s="2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22"/>
      <c r="C160" s="2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22"/>
      <c r="C161" s="2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22"/>
      <c r="C162" s="2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22"/>
      <c r="C163" s="2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22"/>
      <c r="C164" s="2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22"/>
      <c r="C165" s="2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22"/>
      <c r="C166" s="2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22"/>
      <c r="C167" s="2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22"/>
      <c r="C168" s="2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22"/>
      <c r="C169" s="2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22"/>
      <c r="C170" s="2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22"/>
      <c r="C171" s="2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22"/>
      <c r="C172" s="2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22"/>
      <c r="C173" s="2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22"/>
      <c r="C174" s="2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22"/>
      <c r="C175" s="2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22"/>
      <c r="C176" s="2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22"/>
      <c r="C177" s="2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22"/>
      <c r="C178" s="2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22"/>
      <c r="C179" s="2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22"/>
      <c r="C180" s="2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22"/>
      <c r="C181" s="2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22"/>
      <c r="C182" s="2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22"/>
      <c r="C183" s="2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22"/>
      <c r="C184" s="2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22"/>
      <c r="C185" s="2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22"/>
      <c r="C186" s="2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22"/>
      <c r="C187" s="2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22"/>
      <c r="C188" s="2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22"/>
      <c r="C189" s="2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22"/>
      <c r="C190" s="2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22"/>
      <c r="C191" s="2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22"/>
      <c r="C192" s="2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22"/>
      <c r="C193" s="2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22"/>
      <c r="C194" s="2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22"/>
      <c r="C195" s="2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22"/>
      <c r="C196" s="2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22"/>
      <c r="C197" s="2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22"/>
      <c r="C198" s="2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22"/>
      <c r="C199" s="2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22"/>
      <c r="C200" s="2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topLeftCell="A16" workbookViewId="0">
      <selection sqref="A1:F1"/>
    </sheetView>
  </sheetViews>
  <sheetFormatPr defaultRowHeight="13.8"/>
  <cols>
    <col min="1" max="1" width="34" customWidth="1"/>
    <col min="2" max="2" width="18" customWidth="1"/>
    <col min="3" max="3" width="20" customWidth="1"/>
    <col min="4" max="4" width="28" customWidth="1"/>
    <col min="5" max="5" width="20" customWidth="1"/>
    <col min="6" max="6" width="34" customWidth="1"/>
  </cols>
  <sheetData>
    <row r="1" spans="1:26">
      <c r="A1" s="47" t="s">
        <v>367</v>
      </c>
      <c r="B1" s="47"/>
      <c r="C1" s="47"/>
      <c r="D1" s="47"/>
      <c r="E1" s="47"/>
      <c r="F1" s="47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7" t="s">
        <v>368</v>
      </c>
      <c r="B3" s="17" t="s">
        <v>369</v>
      </c>
      <c r="C3" s="17" t="s">
        <v>370</v>
      </c>
      <c r="D3" s="17" t="s">
        <v>371</v>
      </c>
      <c r="E3" s="17" t="s">
        <v>372</v>
      </c>
      <c r="F3" s="17" t="s">
        <v>373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4">
      <c r="A4" s="13" t="s">
        <v>374</v>
      </c>
      <c r="B4" s="13" t="s">
        <v>375</v>
      </c>
      <c r="C4" s="13" t="s">
        <v>376</v>
      </c>
      <c r="D4" s="24">
        <f>Historical!C4/Historical!B4-1</f>
        <v>0.44038682858958733</v>
      </c>
      <c r="E4" s="13" t="s">
        <v>377</v>
      </c>
      <c r="F4" s="13" t="s">
        <v>378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6.4">
      <c r="A5" s="13" t="s">
        <v>379</v>
      </c>
      <c r="B5" s="13" t="s">
        <v>380</v>
      </c>
      <c r="C5" s="13" t="s">
        <v>381</v>
      </c>
      <c r="D5" s="25">
        <f>Historical!C4*12.3%</f>
        <v>10314.165000000001</v>
      </c>
      <c r="E5" s="13" t="s">
        <v>382</v>
      </c>
      <c r="F5" s="13" t="s">
        <v>383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6.4">
      <c r="A6" s="13" t="s">
        <v>384</v>
      </c>
      <c r="B6" s="13" t="s">
        <v>385</v>
      </c>
      <c r="C6" s="13" t="s">
        <v>386</v>
      </c>
      <c r="D6" s="25">
        <f>Assumptions!E29*Assumptions!C34</f>
        <v>33352.800000000003</v>
      </c>
      <c r="E6" s="13" t="s">
        <v>387</v>
      </c>
      <c r="F6" s="13" t="s">
        <v>290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6.4">
      <c r="A7" s="13" t="s">
        <v>388</v>
      </c>
      <c r="B7" s="13" t="s">
        <v>389</v>
      </c>
      <c r="C7" s="13" t="s">
        <v>390</v>
      </c>
      <c r="D7" s="25">
        <f>Assumptions!E29*Assumptions!D34</f>
        <v>4169.1000000000004</v>
      </c>
      <c r="E7" s="13" t="s">
        <v>387</v>
      </c>
      <c r="F7" s="13" t="s">
        <v>290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6.4">
      <c r="A8" s="13" t="s">
        <v>391</v>
      </c>
      <c r="B8" s="13" t="s">
        <v>392</v>
      </c>
      <c r="C8" s="13" t="s">
        <v>390</v>
      </c>
      <c r="D8" s="25">
        <f>Assumptions!E29*Assumptions!B34</f>
        <v>4169.1000000000004</v>
      </c>
      <c r="E8" s="13" t="s">
        <v>387</v>
      </c>
      <c r="F8" s="13" t="s">
        <v>290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9.6">
      <c r="A9" s="13" t="s">
        <v>393</v>
      </c>
      <c r="B9" s="13" t="s">
        <v>394</v>
      </c>
      <c r="C9" s="13" t="s">
        <v>395</v>
      </c>
      <c r="D9" s="25">
        <f>Assumptions!E15*(1+Assumptions!E16)*Assumptions!E21</f>
        <v>103515</v>
      </c>
      <c r="E9" s="13" t="s">
        <v>396</v>
      </c>
      <c r="F9" s="13" t="s">
        <v>33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.4">
      <c r="A10" s="13" t="s">
        <v>397</v>
      </c>
      <c r="B10" s="13" t="s">
        <v>398</v>
      </c>
      <c r="C10" s="13" t="s">
        <v>399</v>
      </c>
      <c r="D10" s="25">
        <f>Assumptions!E22*Assumptions!E23</f>
        <v>375</v>
      </c>
      <c r="E10" s="13" t="s">
        <v>400</v>
      </c>
      <c r="F10" s="13" t="s">
        <v>290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6.4">
      <c r="A11" s="13" t="s">
        <v>401</v>
      </c>
      <c r="B11" s="13" t="s">
        <v>402</v>
      </c>
      <c r="C11" s="13" t="s">
        <v>403</v>
      </c>
      <c r="D11" s="25">
        <f>Assumptions!E29*Assumptions!C34*Assumptions!E34</f>
        <v>2501.46</v>
      </c>
      <c r="E11" s="13" t="s">
        <v>404</v>
      </c>
      <c r="F11" s="13" t="s">
        <v>290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6.4">
      <c r="A12" s="13" t="s">
        <v>405</v>
      </c>
      <c r="B12" s="13" t="s">
        <v>406</v>
      </c>
      <c r="C12" s="13" t="s">
        <v>407</v>
      </c>
      <c r="D12" s="25">
        <f>D10*(1-Assumptions!E6)</f>
        <v>281.25</v>
      </c>
      <c r="E12" s="13" t="s">
        <v>408</v>
      </c>
      <c r="F12" s="13" t="s">
        <v>290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9.6">
      <c r="A13" s="13" t="s">
        <v>409</v>
      </c>
      <c r="B13" s="13" t="s">
        <v>410</v>
      </c>
      <c r="C13" s="13" t="s">
        <v>411</v>
      </c>
      <c r="D13" s="25">
        <f>'M&amp;A Model'!D14+'M&amp;A Model'!D15-'M&amp;A Model'!D16-'M&amp;A Model'!D10</f>
        <v>5881.9349999999995</v>
      </c>
      <c r="E13" s="13" t="s">
        <v>412</v>
      </c>
      <c r="F13" s="13" t="s">
        <v>413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6.4">
      <c r="A14" s="13" t="s">
        <v>414</v>
      </c>
      <c r="B14" s="13" t="s">
        <v>415</v>
      </c>
      <c r="C14" s="13" t="s">
        <v>416</v>
      </c>
      <c r="D14" s="25">
        <f>'M&amp;A Model'!C5+'M&amp;A Model'!C6+'M&amp;A Model'!C7-'M&amp;A Model'!C4</f>
        <v>0</v>
      </c>
      <c r="E14" s="13" t="s">
        <v>417</v>
      </c>
      <c r="F14" s="13" t="s">
        <v>413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47" t="s">
        <v>418</v>
      </c>
      <c r="B17" s="47"/>
      <c r="C17" s="47"/>
      <c r="D17" s="47"/>
      <c r="E17" s="47"/>
      <c r="F17" s="4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7" t="s">
        <v>267</v>
      </c>
      <c r="B19" s="17" t="s">
        <v>74</v>
      </c>
      <c r="C19" s="17" t="s">
        <v>75</v>
      </c>
      <c r="D19" s="17" t="s">
        <v>76</v>
      </c>
      <c r="E19" s="17" t="s">
        <v>419</v>
      </c>
      <c r="F19" s="17" t="s">
        <v>420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 t="s">
        <v>82</v>
      </c>
      <c r="B20" s="26">
        <v>1</v>
      </c>
      <c r="C20" s="26">
        <v>0</v>
      </c>
      <c r="D20" s="26">
        <v>0</v>
      </c>
      <c r="E20" s="18">
        <f>Assumptions!E29*B20</f>
        <v>41691</v>
      </c>
      <c r="F20" s="18">
        <f>E20*Assumptions!E33</f>
        <v>3126.8249999999998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 t="s">
        <v>86</v>
      </c>
      <c r="B21" s="26">
        <v>0.1</v>
      </c>
      <c r="C21" s="26">
        <v>0.8</v>
      </c>
      <c r="D21" s="26">
        <v>0.1</v>
      </c>
      <c r="E21" s="18">
        <f>Assumptions!E29*C21</f>
        <v>33352.800000000003</v>
      </c>
      <c r="F21" s="18">
        <f>E21*Assumptions!E34</f>
        <v>2501.46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 t="s">
        <v>89</v>
      </c>
      <c r="B22" s="26">
        <v>0.05</v>
      </c>
      <c r="C22" s="26">
        <v>0.9</v>
      </c>
      <c r="D22" s="26">
        <v>0.05</v>
      </c>
      <c r="E22" s="18">
        <f>Assumptions!E29*C22</f>
        <v>37521.9</v>
      </c>
      <c r="F22" s="18">
        <f>E22*Assumptions!E35</f>
        <v>3001.752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47" t="s">
        <v>421</v>
      </c>
      <c r="B25" s="47"/>
      <c r="C25" s="47"/>
      <c r="D25" s="47"/>
      <c r="E25" s="47"/>
      <c r="F25" s="47"/>
      <c r="G25" s="4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7" t="s">
        <v>422</v>
      </c>
      <c r="B27" s="17" t="s">
        <v>423</v>
      </c>
      <c r="C27" s="17" t="s">
        <v>258</v>
      </c>
      <c r="D27" s="17" t="s">
        <v>424</v>
      </c>
      <c r="E27" s="17"/>
      <c r="F27" s="17"/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66">
      <c r="A28" s="13" t="s">
        <v>425</v>
      </c>
      <c r="B28" s="18">
        <f>7108.03+750-(38000*0.8*0.075)-100</f>
        <v>5478.03</v>
      </c>
      <c r="C28" s="18">
        <f>7108.03+750-(41691*0.8*0.075)-100</f>
        <v>5256.57</v>
      </c>
      <c r="D28" s="18">
        <f>7108.03+750-(45000*0.8*0.075)-100</f>
        <v>5058.03</v>
      </c>
      <c r="E28" s="13" t="s">
        <v>426</v>
      </c>
      <c r="F28" s="13" t="s">
        <v>427</v>
      </c>
      <c r="G28" s="13" t="s">
        <v>428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 t="s">
        <v>429</v>
      </c>
      <c r="B29" s="18">
        <f>7108.03+1500-(38000*0.8*0.075)-100</f>
        <v>6228.0299999999988</v>
      </c>
      <c r="C29" s="18">
        <f>7108.03+1500-(41691*0.8*0.075)-100</f>
        <v>6006.5699999999988</v>
      </c>
      <c r="D29" s="18">
        <f>7108.03+1500-(45000*0.8*0.075)-100</f>
        <v>5808.0299999999988</v>
      </c>
      <c r="E29" s="13"/>
      <c r="F29" s="13" t="s">
        <v>430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 t="s">
        <v>431</v>
      </c>
      <c r="B30" s="18">
        <f>7108.03+2000-(38000*0.8*0.075)-100</f>
        <v>6728.0299999999988</v>
      </c>
      <c r="C30" s="18">
        <f>7108.03+2000-(41691*0.8*0.075)-100</f>
        <v>6506.5699999999988</v>
      </c>
      <c r="D30" s="18">
        <f>7108.03+2000-(45000*0.8*0.075)-100</f>
        <v>6308.0299999999988</v>
      </c>
      <c r="E30" s="13"/>
      <c r="F30" s="13" t="s">
        <v>432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6.4">
      <c r="A31" s="13" t="s">
        <v>433</v>
      </c>
      <c r="B31" s="13"/>
      <c r="C31" s="13"/>
      <c r="D31" s="13"/>
      <c r="E31" s="13" t="s">
        <v>434</v>
      </c>
      <c r="F31" s="13" t="s">
        <v>435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mergeCells count="3">
    <mergeCell ref="A1:F1"/>
    <mergeCell ref="A17:F17"/>
    <mergeCell ref="A25:G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>
      <selection sqref="A1:E1"/>
    </sheetView>
  </sheetViews>
  <sheetFormatPr defaultRowHeight="13.8"/>
  <cols>
    <col min="1" max="1" width="34" customWidth="1"/>
    <col min="2" max="2" width="18" customWidth="1"/>
    <col min="3" max="3" width="20" customWidth="1"/>
    <col min="4" max="4" width="28" customWidth="1"/>
    <col min="5" max="5" width="20" customWidth="1"/>
    <col min="6" max="6" width="34" customWidth="1"/>
  </cols>
  <sheetData>
    <row r="1" spans="1:26">
      <c r="A1" s="47" t="s">
        <v>436</v>
      </c>
      <c r="B1" s="47"/>
      <c r="C1" s="47"/>
      <c r="D1" s="47"/>
      <c r="E1" s="47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7" t="s">
        <v>437</v>
      </c>
      <c r="B3" s="17" t="s">
        <v>438</v>
      </c>
      <c r="C3" s="17" t="s">
        <v>439</v>
      </c>
      <c r="D3" s="17" t="s">
        <v>440</v>
      </c>
      <c r="E3" s="17" t="s">
        <v>441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4">
      <c r="A4" s="13" t="s">
        <v>442</v>
      </c>
      <c r="B4" s="13" t="s">
        <v>443</v>
      </c>
      <c r="C4" s="13" t="s">
        <v>444</v>
      </c>
      <c r="D4" s="25">
        <f>Historical!C4</f>
        <v>83855</v>
      </c>
      <c r="E4" s="13" t="str">
        <f>IF(D4=83855,"PASS","CHECK")</f>
        <v>PASS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6.4">
      <c r="A5" s="13" t="s">
        <v>445</v>
      </c>
      <c r="B5" s="13" t="s">
        <v>446</v>
      </c>
      <c r="C5" s="13" t="s">
        <v>447</v>
      </c>
      <c r="D5" s="25">
        <f>Historical!C44</f>
        <v>52309</v>
      </c>
      <c r="E5" s="13" t="str">
        <f>IF(D5=52309,"PASS","CHECK")</f>
        <v>PASS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3" t="s">
        <v>448</v>
      </c>
      <c r="B6" s="13" t="s">
        <v>449</v>
      </c>
      <c r="C6" s="13" t="s">
        <v>450</v>
      </c>
      <c r="D6" s="25">
        <f>Historical!C60</f>
        <v>14981</v>
      </c>
      <c r="E6" s="13" t="str">
        <f>IF(D6=14981,"PASS","CHECK")</f>
        <v>PASS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6.4">
      <c r="A7" s="13" t="s">
        <v>414</v>
      </c>
      <c r="B7" s="13" t="s">
        <v>451</v>
      </c>
      <c r="C7" s="13" t="s">
        <v>452</v>
      </c>
      <c r="D7" s="25">
        <f>'M&amp;A Model'!C5+'M&amp;A Model'!C6+'M&amp;A Model'!C7-'M&amp;A Model'!C4</f>
        <v>0</v>
      </c>
      <c r="E7" s="13" t="str">
        <f>IF(ABS(D7)&lt;0.1,"PASS","CHECK")</f>
        <v>PASS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6.4">
      <c r="A8" s="13" t="s">
        <v>453</v>
      </c>
      <c r="B8" s="13" t="s">
        <v>454</v>
      </c>
      <c r="C8" s="13" t="s">
        <v>452</v>
      </c>
      <c r="D8" s="25">
        <f>'Forecast BS'!C20</f>
        <v>0</v>
      </c>
      <c r="E8" s="13" t="str">
        <f>IF(ABS(D8)&lt;0.1,"PASS","CHECK")</f>
        <v>PASS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6.4">
      <c r="A9" s="13" t="s">
        <v>455</v>
      </c>
      <c r="B9" s="13" t="s">
        <v>456</v>
      </c>
      <c r="C9" s="13" t="s">
        <v>457</v>
      </c>
      <c r="D9" s="25">
        <f>'Forecast CF'!C19</f>
        <v>-4423.2901300000012</v>
      </c>
      <c r="E9" s="13" t="str">
        <f>IF(D9='Forecast BS'!C9,"PASS","CHECK")</f>
        <v>PASS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.4">
      <c r="A10" s="13" t="s">
        <v>458</v>
      </c>
      <c r="B10" s="13" t="s">
        <v>459</v>
      </c>
      <c r="C10" s="13" t="s">
        <v>460</v>
      </c>
      <c r="D10" s="25">
        <f>'M&amp;A Model'!F8</f>
        <v>14070.712500000001</v>
      </c>
      <c r="E10" s="13" t="str">
        <f>IF(D10&lt;'M&amp;A Model'!C8,"PASS","CHECK")</f>
        <v>PASS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6.4">
      <c r="A11" s="13" t="s">
        <v>461</v>
      </c>
      <c r="B11" s="13" t="s">
        <v>462</v>
      </c>
      <c r="C11" s="13" t="s">
        <v>463</v>
      </c>
      <c r="D11" s="13">
        <f>'Forecast CF'!C19</f>
        <v>-4423.2901300000012</v>
      </c>
      <c r="E11" s="13" t="str">
        <f>IF(D11&gt;=Assumptions!E11,"PASS","FUNDING NEEDED")</f>
        <v>FUNDING NEEDED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9.6">
      <c r="A12" s="13" t="s">
        <v>464</v>
      </c>
      <c r="B12" s="13" t="s">
        <v>465</v>
      </c>
      <c r="C12" s="13" t="s">
        <v>466</v>
      </c>
      <c r="D12" s="13">
        <f>'M&amp;A Model'!C22</f>
        <v>8423.2901300000012</v>
      </c>
      <c r="E12" s="13" t="str">
        <f>IF(D12=0,"PASS","ACTION")</f>
        <v>ACTION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mergeCells count="1">
    <mergeCell ref="A1:E1"/>
  </mergeCells>
  <conditionalFormatting sqref="E4:E10">
    <cfRule type="expression" dxfId="3" priority="1">
      <formula>E4="PASS"</formula>
    </cfRule>
    <cfRule type="expression" dxfId="2" priority="2">
      <formula>E4="CHECK"</formula>
    </cfRule>
  </conditionalFormatting>
  <conditionalFormatting sqref="E11:E12">
    <cfRule type="expression" dxfId="1" priority="3">
      <formula>LEFT(E11,4)="PASS"</formula>
    </cfRule>
    <cfRule type="expression" dxfId="0" priority="4">
      <formula>LEFT(E11,4)&lt;&gt;"PASS"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workbookViewId="0">
      <selection sqref="A1:F1"/>
    </sheetView>
  </sheetViews>
  <sheetFormatPr defaultRowHeight="13.8"/>
  <cols>
    <col min="1" max="1" width="34" customWidth="1"/>
    <col min="2" max="2" width="18" customWidth="1"/>
    <col min="3" max="3" width="20" customWidth="1"/>
    <col min="4" max="4" width="28" customWidth="1"/>
    <col min="5" max="5" width="20" customWidth="1"/>
    <col min="6" max="6" width="34" customWidth="1"/>
  </cols>
  <sheetData>
    <row r="1" spans="1:26">
      <c r="A1" s="47" t="s">
        <v>467</v>
      </c>
      <c r="B1" s="47"/>
      <c r="C1" s="47"/>
      <c r="D1" s="47"/>
      <c r="E1" s="47"/>
      <c r="F1" s="47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7" t="s">
        <v>468</v>
      </c>
      <c r="B3" s="17" t="s">
        <v>469</v>
      </c>
      <c r="C3" s="17" t="s">
        <v>470</v>
      </c>
      <c r="D3" s="17" t="s">
        <v>471</v>
      </c>
      <c r="E3" s="17" t="s">
        <v>472</v>
      </c>
      <c r="F3" s="17" t="s">
        <v>473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79.2">
      <c r="A4" s="13" t="s">
        <v>474</v>
      </c>
      <c r="B4" s="13" t="s">
        <v>475</v>
      </c>
      <c r="C4" s="13" t="s">
        <v>476</v>
      </c>
      <c r="D4" s="13" t="s">
        <v>477</v>
      </c>
      <c r="E4" s="20" t="s">
        <v>478</v>
      </c>
      <c r="F4" s="13" t="s">
        <v>479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79.2">
      <c r="A5" s="13" t="s">
        <v>480</v>
      </c>
      <c r="B5" s="13" t="s">
        <v>481</v>
      </c>
      <c r="C5" s="13" t="s">
        <v>482</v>
      </c>
      <c r="D5" s="13" t="s">
        <v>483</v>
      </c>
      <c r="E5" s="20" t="s">
        <v>484</v>
      </c>
      <c r="F5" s="13" t="s">
        <v>485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79.2">
      <c r="A6" s="13" t="s">
        <v>486</v>
      </c>
      <c r="B6" s="13" t="s">
        <v>487</v>
      </c>
      <c r="C6" s="13" t="s">
        <v>488</v>
      </c>
      <c r="D6" s="13" t="s">
        <v>489</v>
      </c>
      <c r="E6" s="20" t="s">
        <v>490</v>
      </c>
      <c r="F6" s="13" t="s">
        <v>491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66">
      <c r="A7" s="13" t="s">
        <v>222</v>
      </c>
      <c r="B7" s="13" t="s">
        <v>492</v>
      </c>
      <c r="C7" s="13" t="s">
        <v>290</v>
      </c>
      <c r="D7" s="13" t="s">
        <v>493</v>
      </c>
      <c r="E7" s="20" t="s">
        <v>494</v>
      </c>
      <c r="F7" s="13" t="s">
        <v>495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52.8">
      <c r="A8" s="13" t="s">
        <v>347</v>
      </c>
      <c r="B8" s="13" t="s">
        <v>496</v>
      </c>
      <c r="C8" s="13" t="s">
        <v>290</v>
      </c>
      <c r="D8" s="13" t="s">
        <v>497</v>
      </c>
      <c r="E8" s="20" t="s">
        <v>498</v>
      </c>
      <c r="F8" s="13" t="s">
        <v>499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52.8">
      <c r="A9" s="13" t="s">
        <v>325</v>
      </c>
      <c r="B9" s="13" t="s">
        <v>500</v>
      </c>
      <c r="C9" s="13" t="s">
        <v>501</v>
      </c>
      <c r="D9" s="13" t="s">
        <v>502</v>
      </c>
      <c r="E9" s="20" t="s">
        <v>503</v>
      </c>
      <c r="F9" s="13" t="s">
        <v>504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52.8">
      <c r="A10" s="13" t="s">
        <v>505</v>
      </c>
      <c r="B10" s="13" t="s">
        <v>506</v>
      </c>
      <c r="C10" s="13" t="s">
        <v>507</v>
      </c>
      <c r="D10" s="13" t="s">
        <v>508</v>
      </c>
      <c r="E10" s="20" t="s">
        <v>509</v>
      </c>
      <c r="F10" s="13" t="s">
        <v>510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66">
      <c r="A11" s="13" t="s">
        <v>511</v>
      </c>
      <c r="B11" s="13" t="s">
        <v>512</v>
      </c>
      <c r="C11" s="13" t="s">
        <v>513</v>
      </c>
      <c r="D11" s="13" t="s">
        <v>514</v>
      </c>
      <c r="E11" s="20" t="s">
        <v>515</v>
      </c>
      <c r="F11" s="13" t="s">
        <v>516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79.2">
      <c r="A12" s="13" t="s">
        <v>517</v>
      </c>
      <c r="B12" s="13" t="s">
        <v>518</v>
      </c>
      <c r="C12" s="13" t="s">
        <v>519</v>
      </c>
      <c r="D12" s="13" t="s">
        <v>520</v>
      </c>
      <c r="E12" s="20" t="s">
        <v>521</v>
      </c>
      <c r="F12" s="13" t="s">
        <v>499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79.2">
      <c r="A13" s="13" t="s">
        <v>522</v>
      </c>
      <c r="B13" s="13" t="s">
        <v>523</v>
      </c>
      <c r="C13" s="13" t="s">
        <v>524</v>
      </c>
      <c r="D13" s="13" t="s">
        <v>525</v>
      </c>
      <c r="E13" s="20" t="s">
        <v>526</v>
      </c>
      <c r="F13" s="13" t="s">
        <v>527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Historical</vt:lpstr>
      <vt:lpstr>Forecast IS</vt:lpstr>
      <vt:lpstr>Forecast BS</vt:lpstr>
      <vt:lpstr>Forecast CF</vt:lpstr>
      <vt:lpstr>M&amp;A Model</vt:lpstr>
      <vt:lpstr>Dashboard</vt:lpstr>
      <vt:lpstr>Sources</vt:lpstr>
      <vt:lpstr>Raw Data</vt:lpstr>
      <vt:lpstr>Worked Examples</vt:lpstr>
      <vt:lpstr>Model Checks</vt:lpstr>
      <vt:lpstr>Limitations &amp;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SINGH</cp:lastModifiedBy>
  <dcterms:modified xsi:type="dcterms:W3CDTF">2026-09-02T04:17:49Z</dcterms:modified>
</cp:coreProperties>
</file>