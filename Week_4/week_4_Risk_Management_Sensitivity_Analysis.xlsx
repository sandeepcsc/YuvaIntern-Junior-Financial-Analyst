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6A19E20F-9743-4617-9349-CCBFB8E7A6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sk Dashboard" sheetId="1" r:id="rId1"/>
    <sheet name="Risk Inputs" sheetId="2" r:id="rId2"/>
    <sheet name="Scenario Manager" sheetId="3" r:id="rId3"/>
    <sheet name="Sensitivity Analysis" sheetId="4" r:id="rId4"/>
    <sheet name="DCF Stress Test" sheetId="5" r:id="rId5"/>
    <sheet name="Financial Impact" sheetId="6" r:id="rId6"/>
    <sheet name="Risk Register" sheetId="7" r:id="rId7"/>
    <sheet name="Sources" sheetId="8" r:id="rId8"/>
    <sheet name="Raw Financials" sheetId="9" r:id="rId9"/>
    <sheet name="Raw Operations" sheetId="10" r:id="rId10"/>
    <sheet name="Raw Risk Drivers" sheetId="11" r:id="rId11"/>
    <sheet name="Raw Sensitivity Data" sheetId="12" r:id="rId12"/>
    <sheet name="Raw Valuation Inpu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3" l="1"/>
  <c r="D22" i="11"/>
  <c r="E22" i="11" s="1"/>
  <c r="D21" i="11"/>
  <c r="E21" i="11" s="1"/>
  <c r="D20" i="11"/>
  <c r="E20" i="11" s="1"/>
  <c r="D19" i="11"/>
  <c r="E19" i="11" s="1"/>
  <c r="D18" i="11"/>
  <c r="E18" i="11" s="1"/>
  <c r="D17" i="11"/>
  <c r="E17" i="11" s="1"/>
  <c r="D16" i="11"/>
  <c r="E16" i="11" s="1"/>
  <c r="D17" i="10"/>
  <c r="D16" i="10"/>
  <c r="D15" i="10"/>
  <c r="D14" i="10"/>
  <c r="D13" i="10"/>
  <c r="D9" i="10"/>
  <c r="E8" i="10"/>
  <c r="D8" i="10"/>
  <c r="E7" i="10"/>
  <c r="D7" i="10"/>
  <c r="E6" i="10"/>
  <c r="D6" i="10"/>
  <c r="E5" i="10"/>
  <c r="D5" i="10"/>
  <c r="D14" i="9"/>
  <c r="D13" i="9"/>
  <c r="D12" i="9"/>
  <c r="D11" i="9"/>
  <c r="D10" i="9"/>
  <c r="D9" i="9"/>
  <c r="D8" i="9"/>
  <c r="D7" i="9"/>
  <c r="D6" i="9"/>
  <c r="B8" i="6"/>
  <c r="C8" i="6" s="1"/>
  <c r="D8" i="6" s="1"/>
  <c r="B5" i="6"/>
  <c r="C5" i="6" s="1"/>
  <c r="D5" i="6" s="1"/>
  <c r="B4" i="6"/>
  <c r="B16" i="5"/>
  <c r="B14" i="5"/>
  <c r="B13" i="5"/>
  <c r="B12" i="5"/>
  <c r="B8" i="5"/>
  <c r="B6" i="5"/>
  <c r="B9" i="5" s="1"/>
  <c r="G5" i="5"/>
  <c r="F5" i="5"/>
  <c r="E5" i="5"/>
  <c r="D5" i="5"/>
  <c r="C5" i="5"/>
  <c r="B5" i="5"/>
  <c r="B4" i="5"/>
  <c r="C4" i="5" s="1"/>
  <c r="B19" i="4"/>
  <c r="C19" i="4" s="1"/>
  <c r="B18" i="4"/>
  <c r="C18" i="4" s="1"/>
  <c r="C17" i="4"/>
  <c r="B17" i="4"/>
  <c r="B16" i="4"/>
  <c r="C16" i="4" s="1"/>
  <c r="B15" i="4"/>
  <c r="C15" i="4" s="1"/>
  <c r="M10" i="4"/>
  <c r="L10" i="4"/>
  <c r="K10" i="4"/>
  <c r="J10" i="4"/>
  <c r="I10" i="4"/>
  <c r="F10" i="4"/>
  <c r="F8" i="4"/>
  <c r="D8" i="4"/>
  <c r="C8" i="4"/>
  <c r="B8" i="4"/>
  <c r="M7" i="4"/>
  <c r="L7" i="4"/>
  <c r="K7" i="4"/>
  <c r="J7" i="4"/>
  <c r="D6" i="4"/>
  <c r="B19" i="3"/>
  <c r="F6" i="1" s="1"/>
  <c r="B18" i="3"/>
  <c r="G6" i="1" s="1"/>
  <c r="B17" i="3"/>
  <c r="G16" i="5" s="1"/>
  <c r="B16" i="3"/>
  <c r="E7" i="5" s="1"/>
  <c r="B15" i="3"/>
  <c r="B13" i="2"/>
  <c r="E10" i="4" s="1"/>
  <c r="B6" i="2"/>
  <c r="B7" i="5" s="1"/>
  <c r="D13" i="1"/>
  <c r="E13" i="1" s="1"/>
  <c r="C13" i="1"/>
  <c r="B13" i="1"/>
  <c r="B22" i="13" s="1"/>
  <c r="C12" i="1"/>
  <c r="B12" i="1"/>
  <c r="C11" i="1"/>
  <c r="B11" i="1"/>
  <c r="I6" i="1"/>
  <c r="E6" i="1"/>
  <c r="C6" i="1"/>
  <c r="B6" i="1"/>
  <c r="A6" i="1"/>
  <c r="C12" i="5" l="1"/>
  <c r="C6" i="5"/>
  <c r="C13" i="5"/>
  <c r="C14" i="5" s="1"/>
  <c r="C8" i="5"/>
  <c r="D4" i="5"/>
  <c r="B10" i="5"/>
  <c r="B11" i="5"/>
  <c r="B15" i="5" s="1"/>
  <c r="B17" i="5" s="1"/>
  <c r="B6" i="6"/>
  <c r="J8" i="4"/>
  <c r="C16" i="5"/>
  <c r="K8" i="4"/>
  <c r="J16" i="4"/>
  <c r="D16" i="5"/>
  <c r="B6" i="4"/>
  <c r="L8" i="4"/>
  <c r="C7" i="5"/>
  <c r="E16" i="5"/>
  <c r="B9" i="4"/>
  <c r="J18" i="4"/>
  <c r="I8" i="4"/>
  <c r="C6" i="4"/>
  <c r="C9" i="4"/>
  <c r="E9" i="4"/>
  <c r="K6" i="4"/>
  <c r="B7" i="4"/>
  <c r="L9" i="4"/>
  <c r="M8" i="4"/>
  <c r="E6" i="4"/>
  <c r="F7" i="5"/>
  <c r="D11" i="1"/>
  <c r="E11" i="1" s="1"/>
  <c r="F9" i="4"/>
  <c r="L6" i="4"/>
  <c r="M9" i="4"/>
  <c r="D7" i="4"/>
  <c r="E7" i="4"/>
  <c r="E8" i="4"/>
  <c r="J15" i="4"/>
  <c r="D7" i="5"/>
  <c r="F16" i="5"/>
  <c r="D9" i="4"/>
  <c r="G7" i="5"/>
  <c r="I9" i="4"/>
  <c r="J9" i="4"/>
  <c r="K9" i="4"/>
  <c r="F7" i="4"/>
  <c r="D10" i="4"/>
  <c r="J17" i="4"/>
  <c r="F6" i="4"/>
  <c r="I6" i="4"/>
  <c r="J6" i="4"/>
  <c r="J19" i="4"/>
  <c r="M6" i="4"/>
  <c r="C7" i="4"/>
  <c r="B10" i="4"/>
  <c r="C10" i="4"/>
  <c r="D12" i="1"/>
  <c r="E12" i="1" s="1"/>
  <c r="I7" i="4"/>
  <c r="B7" i="6" l="1"/>
  <c r="C7" i="6" s="1"/>
  <c r="D7" i="6" s="1"/>
  <c r="C4" i="6"/>
  <c r="D4" i="6" s="1"/>
  <c r="C6" i="6"/>
  <c r="D6" i="6" s="1"/>
  <c r="C9" i="5"/>
  <c r="E4" i="5"/>
  <c r="D13" i="5"/>
  <c r="D14" i="5" s="1"/>
  <c r="D8" i="5"/>
  <c r="D12" i="5"/>
  <c r="D6" i="5"/>
  <c r="D9" i="5" s="1"/>
  <c r="D10" i="5" l="1"/>
  <c r="D11" i="5" s="1"/>
  <c r="D15" i="5" s="1"/>
  <c r="D17" i="5" s="1"/>
  <c r="F4" i="5"/>
  <c r="E8" i="5"/>
  <c r="E12" i="5"/>
  <c r="E6" i="5"/>
  <c r="E9" i="5" s="1"/>
  <c r="E13" i="5"/>
  <c r="E14" i="5" s="1"/>
  <c r="C10" i="5"/>
  <c r="C11" i="5"/>
  <c r="C15" i="5" s="1"/>
  <c r="C17" i="5" s="1"/>
  <c r="E10" i="5" l="1"/>
  <c r="E11" i="5" s="1"/>
  <c r="E15" i="5" s="1"/>
  <c r="E17" i="5" s="1"/>
  <c r="F6" i="5"/>
  <c r="G4" i="5"/>
  <c r="F8" i="5"/>
  <c r="F12" i="5"/>
  <c r="F13" i="5"/>
  <c r="F14" i="5" s="1"/>
  <c r="G13" i="5" l="1"/>
  <c r="G14" i="5" s="1"/>
  <c r="G12" i="5"/>
  <c r="G6" i="5"/>
  <c r="G8" i="5"/>
  <c r="F9" i="5"/>
  <c r="F10" i="5" l="1"/>
  <c r="F11" i="5"/>
  <c r="F15" i="5" s="1"/>
  <c r="F17" i="5" s="1"/>
  <c r="G9" i="5"/>
  <c r="G10" i="5" l="1"/>
  <c r="G11" i="5"/>
  <c r="G15" i="5" s="1"/>
  <c r="G17" i="5" l="1"/>
  <c r="B22" i="5" s="1"/>
  <c r="B23" i="5"/>
  <c r="B24" i="5" s="1"/>
  <c r="B25" i="5" l="1"/>
  <c r="B26" i="5" l="1"/>
  <c r="B18" i="13"/>
  <c r="B19" i="13" l="1"/>
  <c r="B27" i="5"/>
  <c r="J6" i="1" l="1"/>
  <c r="L6" i="1" s="1"/>
  <c r="D6" i="1"/>
  <c r="B20" i="13"/>
</calcChain>
</file>

<file path=xl/sharedStrings.xml><?xml version="1.0" encoding="utf-8"?>
<sst xmlns="http://schemas.openxmlformats.org/spreadsheetml/2006/main" count="731" uniqueCount="448">
  <si>
    <t>TATA MOTORS — RISK MANAGEMENT &amp; SENSITIVITY DASHBOARD</t>
  </si>
  <si>
    <t>Task: Risk Management and Sensitivity Analysis in Financial Decision-Making | FY2025-26</t>
  </si>
  <si>
    <t>EXECUTIVE RISK SCORECARD</t>
  </si>
  <si>
    <t>FY26A Revenue</t>
  </si>
  <si>
    <t>FY26A EBITDA</t>
  </si>
  <si>
    <t>Selected Scenario</t>
  </si>
  <si>
    <t>Scenario DCF / Share</t>
  </si>
  <si>
    <t>Base WACC</t>
  </si>
  <si>
    <t>Interest Shock</t>
  </si>
  <si>
    <t>Capex / Revenue</t>
  </si>
  <si>
    <t>Top Risk</t>
  </si>
  <si>
    <t>Reference Price</t>
  </si>
  <si>
    <t>DCF vs Ref.</t>
  </si>
  <si>
    <t>Priority</t>
  </si>
  <si>
    <t>Posture</t>
  </si>
  <si>
    <t>Revenue / demand</t>
  </si>
  <si>
    <t>1</t>
  </si>
  <si>
    <t>SCENARIO OUTCOMES</t>
  </si>
  <si>
    <t>RISK DRIVER MAP</t>
  </si>
  <si>
    <t>Scenario</t>
  </si>
  <si>
    <t>Revenue FY31E</t>
  </si>
  <si>
    <t>UFCF FY31E</t>
  </si>
  <si>
    <t>DCF / Share</t>
  </si>
  <si>
    <t>Vs Ref.</t>
  </si>
  <si>
    <t>Interpretation</t>
  </si>
  <si>
    <t>Driver</t>
  </si>
  <si>
    <t>Base</t>
  </si>
  <si>
    <t>Stress range</t>
  </si>
  <si>
    <t>Impact</t>
  </si>
  <si>
    <t>Control</t>
  </si>
  <si>
    <t>Downside</t>
  </si>
  <si>
    <t>Capital preservation / high caution</t>
  </si>
  <si>
    <t>Revenue growth</t>
  </si>
  <si>
    <t>7.0%</t>
  </si>
  <si>
    <t>4.0%-9.0%</t>
  </si>
  <si>
    <t>High</t>
  </si>
  <si>
    <t>Reforecast</t>
  </si>
  <si>
    <t>Balanced monitoring</t>
  </si>
  <si>
    <t>EBITDA margin</t>
  </si>
  <si>
    <t>12.5%</t>
  </si>
  <si>
    <t>10.5%-14.5%</t>
  </si>
  <si>
    <t>Hedge + pricing</t>
  </si>
  <si>
    <t>Upside</t>
  </si>
  <si>
    <t>Execution-led upside case</t>
  </si>
  <si>
    <t>WACC</t>
  </si>
  <si>
    <t>11.0%</t>
  </si>
  <si>
    <t>9.0%-13.0%</t>
  </si>
  <si>
    <t>Monitor rates</t>
  </si>
  <si>
    <t>Interest shock</t>
  </si>
  <si>
    <t>0.0%</t>
  </si>
  <si>
    <t>-2.0% to +2.0%</t>
  </si>
  <si>
    <t>Medium</t>
  </si>
  <si>
    <t>Liquidity / hedges</t>
  </si>
  <si>
    <t>3.5%</t>
  </si>
  <si>
    <t>2.5%-4.5%</t>
  </si>
  <si>
    <t>Stage-gate</t>
  </si>
  <si>
    <t>INVESTMENT-BANKING DECISION FRAMEWORK</t>
  </si>
  <si>
    <t>Risk management should be embedded in valuation rather than treated as a separate narrative. In this model, revenue growth, EBITDA margin and WACC drive the largest valuation swings; interest-rate shocks flow into financing cost and can also affect the required return; capex intensity changes near-term free cash flow. The recommended process is to refresh the base/downside/upside cases regularly, monitor leading indicators, and require a margin of safety before making capital-allocation decisions.</t>
  </si>
  <si>
    <t>TATA MOTORS — RISK MANAGEMENT INPUTS</t>
  </si>
  <si>
    <t>Metric</t>
  </si>
  <si>
    <t>FY26A</t>
  </si>
  <si>
    <t>Unit</t>
  </si>
  <si>
    <t>Source</t>
  </si>
  <si>
    <t>Revenue from operations</t>
  </si>
  <si>
    <t>₹ cr</t>
  </si>
  <si>
    <t>Annual Report FY26</t>
  </si>
  <si>
    <t>Underlying EBITDA</t>
  </si>
  <si>
    <t>Underlying EBITDA margin</t>
  </si>
  <si>
    <t>%</t>
  </si>
  <si>
    <t>Calculated</t>
  </si>
  <si>
    <t>Underlying EBIT</t>
  </si>
  <si>
    <t>D&amp;A</t>
  </si>
  <si>
    <t>Operating cash flow</t>
  </si>
  <si>
    <t>Free cash flow</t>
  </si>
  <si>
    <t>Total debt</t>
  </si>
  <si>
    <t>Cash &amp; equivalents</t>
  </si>
  <si>
    <t>Net cash (simple bridge)</t>
  </si>
  <si>
    <t>Cash less debt</t>
  </si>
  <si>
    <t>Shares outstanding</t>
  </si>
  <si>
    <t>Cr shares</t>
  </si>
  <si>
    <t>Week 3 model</t>
  </si>
  <si>
    <t>BASE FORECAST ASSUMPTIONS</t>
  </si>
  <si>
    <t>Input</t>
  </si>
  <si>
    <t>Base Value</t>
  </si>
  <si>
    <t>Use</t>
  </si>
  <si>
    <t>% per year</t>
  </si>
  <si>
    <t>Top-line sensitivity</t>
  </si>
  <si>
    <t>% of revenue</t>
  </si>
  <si>
    <t>Margin sensitivity</t>
  </si>
  <si>
    <t>Tax rate</t>
  </si>
  <si>
    <t>DCF tax</t>
  </si>
  <si>
    <t>D&amp;A / Revenue</t>
  </si>
  <si>
    <t>DCF</t>
  </si>
  <si>
    <t>Capex sensitivity</t>
  </si>
  <si>
    <t>NWC / Revenue</t>
  </si>
  <si>
    <t>Working capital</t>
  </si>
  <si>
    <t>Terminal growth</t>
  </si>
  <si>
    <t>Terminal value</t>
  </si>
  <si>
    <t>Discount rate</t>
  </si>
  <si>
    <t>Interest expense</t>
  </si>
  <si>
    <t>Financing base</t>
  </si>
  <si>
    <t>Reference market price</t>
  </si>
  <si>
    <t>₹ / share</t>
  </si>
  <si>
    <t>Week 3 benchmark</t>
  </si>
  <si>
    <t>SCENARIO MANAGER — RISK CASES</t>
  </si>
  <si>
    <t>Interest-rate shock</t>
  </si>
  <si>
    <t>Selected Driver</t>
  </si>
  <si>
    <t>Value</t>
  </si>
  <si>
    <t>Revenue growth stress lever</t>
  </si>
  <si>
    <t>EBITDA margin stress lever</t>
  </si>
  <si>
    <t>WACC stress lever</t>
  </si>
  <si>
    <t>Capex / Revenue stress lever</t>
  </si>
  <si>
    <t>Interest-rate shock stress lever</t>
  </si>
  <si>
    <t>SENSITIVITY ANALYSIS — KEY DECISION VARIABLES</t>
  </si>
  <si>
    <t>All sensitivity outputs are formula-driven. Base case is centered; adverse cases move toward lower valuation outcomes.</t>
  </si>
  <si>
    <t>REVENUE GROWTH × WACC</t>
  </si>
  <si>
    <t>EBITDA MARGIN × WACC</t>
  </si>
  <si>
    <t>WACC \ Growth</t>
  </si>
  <si>
    <t>WACC \ Margin</t>
  </si>
  <si>
    <t>INTEREST-RATE SHOCK</t>
  </si>
  <si>
    <t>CAPEX / REVENUE</t>
  </si>
  <si>
    <t>Incremental Interest</t>
  </si>
  <si>
    <t>EPS Impact</t>
  </si>
  <si>
    <t>FY31E UFCF</t>
  </si>
  <si>
    <t>DCF STRESS TEST — SELECTED RISK SCENARIO</t>
  </si>
  <si>
    <t>FY27E</t>
  </si>
  <si>
    <t>FY28E</t>
  </si>
  <si>
    <t>FY29E</t>
  </si>
  <si>
    <t>FY30E</t>
  </si>
  <si>
    <t>FY31E</t>
  </si>
  <si>
    <t>Formula / Source</t>
  </si>
  <si>
    <t>Revenue</t>
  </si>
  <si>
    <t>FY26A input; future driven by selected growth</t>
  </si>
  <si>
    <t>Scenario Manager</t>
  </si>
  <si>
    <t>EBITDA</t>
  </si>
  <si>
    <t>Revenue × margin</t>
  </si>
  <si>
    <t>Revenue × D&amp;A / Revenue</t>
  </si>
  <si>
    <t>EBIT</t>
  </si>
  <si>
    <t>EBITDA - D&amp;A</t>
  </si>
  <si>
    <t>Tax on EBIT</t>
  </si>
  <si>
    <t>EBIT × tax</t>
  </si>
  <si>
    <t>NOPAT</t>
  </si>
  <si>
    <t>EBIT - tax</t>
  </si>
  <si>
    <t>Capex</t>
  </si>
  <si>
    <t>Revenue × capex / revenue</t>
  </si>
  <si>
    <t>NWC</t>
  </si>
  <si>
    <t>Revenue × NWC / revenue</t>
  </si>
  <si>
    <t>Change in NWC</t>
  </si>
  <si>
    <t>NWC change</t>
  </si>
  <si>
    <t>Unlevered FCF</t>
  </si>
  <si>
    <t>NOPAT + D&amp;A - Capex - ΔNWC</t>
  </si>
  <si>
    <t>Discount factor</t>
  </si>
  <si>
    <t>1/(1+WACC)^t</t>
  </si>
  <si>
    <t>PV of FCF</t>
  </si>
  <si>
    <t>FCF × discount factor</t>
  </si>
  <si>
    <t>DCF OUTPUT</t>
  </si>
  <si>
    <t>PV explicit FCF</t>
  </si>
  <si>
    <t>PV terminal value</t>
  </si>
  <si>
    <t>Enterprise value</t>
  </si>
  <si>
    <t>Implied equity value</t>
  </si>
  <si>
    <t>Implied share value</t>
  </si>
  <si>
    <t>FINANCIAL IMPACT — RISK TRANSMISSION</t>
  </si>
  <si>
    <t>Stress</t>
  </si>
  <si>
    <t>Incremental interest</t>
  </si>
  <si>
    <t>After-tax EPS impact</t>
  </si>
  <si>
    <t>Reference price</t>
  </si>
  <si>
    <t>RISK REGISTER — IDENTIFICATION, IMPACT &amp; MITIGATION</t>
  </si>
  <si>
    <t>Risk</t>
  </si>
  <si>
    <t>Driver / Evidence</t>
  </si>
  <si>
    <t>Model Variable</t>
  </si>
  <si>
    <t>Severity</t>
  </si>
  <si>
    <t>Likelihood</t>
  </si>
  <si>
    <t>Valuation Impact</t>
  </si>
  <si>
    <t>Financial Impact</t>
  </si>
  <si>
    <t>Mitigation</t>
  </si>
  <si>
    <t>Monitoring</t>
  </si>
  <si>
    <t>CV demand / cyclicality</t>
  </si>
  <si>
    <t>Demand sensitive to infrastructure, freight and replacement cycles</t>
  </si>
  <si>
    <t>Down</t>
  </si>
  <si>
    <t>Revenue / UFCF ↓</t>
  </si>
  <si>
    <t>Quarterly reforecast; scenario buffers</t>
  </si>
  <si>
    <t>Volumes; HCV market share</t>
  </si>
  <si>
    <t>Commodity prices</t>
  </si>
  <si>
    <t>Exposure to aluminium, copper, platinum, palladium</t>
  </si>
  <si>
    <t>Margin ↓</t>
  </si>
  <si>
    <t>Hedging, supplier contracts, pricing</t>
  </si>
  <si>
    <t>Material cost %; margin</t>
  </si>
  <si>
    <t>Interest rates</t>
  </si>
  <si>
    <t>Higher rates raise financing cost and can lift WACC</t>
  </si>
  <si>
    <t>Interest shock / WACC</t>
  </si>
  <si>
    <t>Up</t>
  </si>
  <si>
    <t>Interest / valuation ↓</t>
  </si>
  <si>
    <t>Rate hedges; liquidity buffers</t>
  </si>
  <si>
    <t>Yields; interest cover</t>
  </si>
  <si>
    <t>FX volatility</t>
  </si>
  <si>
    <t>Foreign-currency transactions and translation</t>
  </si>
  <si>
    <t>Growth + margin</t>
  </si>
  <si>
    <t>Earnings volatility</t>
  </si>
  <si>
    <t>Forwards / options; natural hedges</t>
  </si>
  <si>
    <t>FX exposure; hedge coverage</t>
  </si>
  <si>
    <t>Geopolitical / supply chain</t>
  </si>
  <si>
    <t>West Asia and selected export corridors create disruption</t>
  </si>
  <si>
    <t>Volume / cost impact</t>
  </si>
  <si>
    <t>Alternate sourcing / routes</t>
  </si>
  <si>
    <t>Lead times; export orders</t>
  </si>
  <si>
    <t>EV / technology investment</t>
  </si>
  <si>
    <t>Capex and technology investment can rise before returns mature</t>
  </si>
  <si>
    <t>UFCF ↓</t>
  </si>
  <si>
    <t>Stage-gates and ROIC hurdles</t>
  </si>
  <si>
    <t>Capex vs plan; project returns</t>
  </si>
  <si>
    <t>Inventory / receivables can absorb cash</t>
  </si>
  <si>
    <t>Inventory and receivable discipline</t>
  </si>
  <si>
    <t>Inventory turns; NWC %</t>
  </si>
  <si>
    <t>SOURCES &amp; MODEL GOVERNANCE</t>
  </si>
  <si>
    <t>No.</t>
  </si>
  <si>
    <t>Reference</t>
  </si>
  <si>
    <t>Type</t>
  </si>
  <si>
    <t>Notes</t>
  </si>
  <si>
    <t>Tata Motors 2nd Integrated Annual Report 2025-26</t>
  </si>
  <si>
    <t>FY26 financial base and risk disclosures</t>
  </si>
  <si>
    <t>FY26 consolidated financials; Risk Management section</t>
  </si>
  <si>
    <t>Primary</t>
  </si>
  <si>
    <t>Audited annual report</t>
  </si>
  <si>
    <t>Tata Motors FY26 MD&amp;A</t>
  </si>
  <si>
    <t>Operating, commodity, geopolitical and liquidity context</t>
  </si>
  <si>
    <t>MD&amp;A around pp. 213-223</t>
  </si>
  <si>
    <t>Management discussion</t>
  </si>
  <si>
    <t>Tata Motors Week 3 valuation model</t>
  </si>
  <si>
    <t>Reference share count and benchmark</t>
  </si>
  <si>
    <t>Prior internship workbook</t>
  </si>
  <si>
    <t>Internal</t>
  </si>
  <si>
    <t>Used as modelling reference</t>
  </si>
  <si>
    <t>Analyst assumptions</t>
  </si>
  <si>
    <t>Forecast and stress-test variables</t>
  </si>
  <si>
    <t>Risk Inputs / Scenario Manager</t>
  </si>
  <si>
    <t>Analyst</t>
  </si>
  <si>
    <t>Not company guidance</t>
  </si>
  <si>
    <t>RAW FINANCIAL DATA — FY2025-26 | RISK &amp; SENSITIVITY ANALYSIS</t>
  </si>
  <si>
    <t>Audited FY26 consolidated baseline used to anchor the Week 4 risk model. FY25 comparative figures are shown only for context because the report notes the prior period is approximately nine months.</t>
  </si>
  <si>
    <t>1. Income Statement &amp; Cash Flow Base (₹ crore)</t>
  </si>
  <si>
    <t>FY25A / 9M</t>
  </si>
  <si>
    <t>FY26 %</t>
  </si>
  <si>
    <t>Risk / Modeling Use</t>
  </si>
  <si>
    <t>Risk Link</t>
  </si>
  <si>
    <t>Revenue growth sensitivity</t>
  </si>
  <si>
    <t>Tata Motors FY26 Annual Report p.267</t>
  </si>
  <si>
    <t>Demand / cyclicality</t>
  </si>
  <si>
    <t>FY25 comparative ~9 months</t>
  </si>
  <si>
    <t>EBITDA margin sensitivity</t>
  </si>
  <si>
    <t>Tata Motors FY26 Annual Report p.214</t>
  </si>
  <si>
    <t>Commodity / operating leverage</t>
  </si>
  <si>
    <t>Company-defined underlying EBITDA</t>
  </si>
  <si>
    <t>Operating profitability stress</t>
  </si>
  <si>
    <t>Demand / cost inflation</t>
  </si>
  <si>
    <t>Company-defined underlying EBIT</t>
  </si>
  <si>
    <t>Profit after tax</t>
  </si>
  <si>
    <t>Earnings / EPS stress</t>
  </si>
  <si>
    <t>Rates / demand / cost</t>
  </si>
  <si>
    <t>Cash-generation risk</t>
  </si>
  <si>
    <t>Tata Motors FY26 Annual Report p.268</t>
  </si>
  <si>
    <t>FY25 comparative not like-for-like</t>
  </si>
  <si>
    <t>Cash valuation anchor</t>
  </si>
  <si>
    <t>Tata Motors FY26 Annual Report p.219</t>
  </si>
  <si>
    <t>Capex / WC</t>
  </si>
  <si>
    <t>Company-defined auto FCF</t>
  </si>
  <si>
    <t>Interest-rate exposure</t>
  </si>
  <si>
    <t>Tata Motors FY26 Annual Report p.220</t>
  </si>
  <si>
    <t>Rates / refinancing</t>
  </si>
  <si>
    <t>Borrowings only</t>
  </si>
  <si>
    <t>Cash &amp; cash equivalents</t>
  </si>
  <si>
    <t>Liquidity buffer</t>
  </si>
  <si>
    <t>Tata Motors FY26 Annual Report p.266</t>
  </si>
  <si>
    <t>Liquidity</t>
  </si>
  <si>
    <t>Year-end cash balance</t>
  </si>
  <si>
    <t>Total equity</t>
  </si>
  <si>
    <t>Capital structure</t>
  </si>
  <si>
    <t>Year-end equity</t>
  </si>
  <si>
    <t>2. Key Ratios &amp; Liquidity</t>
  </si>
  <si>
    <t>Units</t>
  </si>
  <si>
    <t>Risk Interpretation</t>
  </si>
  <si>
    <t>Debt / Equity</t>
  </si>
  <si>
    <t>x</t>
  </si>
  <si>
    <t>Lower leverage reduces refinancing sensitivity</t>
  </si>
  <si>
    <t>Annual Report p.219</t>
  </si>
  <si>
    <t>Interest-rate risk</t>
  </si>
  <si>
    <t>Interest Service Coverage</t>
  </si>
  <si>
    <t>Current ability to absorb rate stress</t>
  </si>
  <si>
    <t>Current Ratio</t>
  </si>
  <si>
    <t>Liquidity remains a monitoring point</t>
  </si>
  <si>
    <t>Liquidity / working capital</t>
  </si>
  <si>
    <t>Operating Margin</t>
  </si>
  <si>
    <t>Profitability buffer</t>
  </si>
  <si>
    <t>Margin risk</t>
  </si>
  <si>
    <t>Net Profit Margin</t>
  </si>
  <si>
    <t>Sensitive to cost and financing changes</t>
  </si>
  <si>
    <t>Rates / cost / demand</t>
  </si>
  <si>
    <t>Net Cash incl. lease liabilities</t>
  </si>
  <si>
    <t>Reported net cash supports resilience</t>
  </si>
  <si>
    <t>Annual Report p.220</t>
  </si>
  <si>
    <t>Liquidity / capital structure</t>
  </si>
  <si>
    <t>RAW OPERATING DATA — VOLUMES, MIX &amp; BUSINESS DRIVERS</t>
  </si>
  <si>
    <t>1. FY26 Vehicle Volumes (Units)</t>
  </si>
  <si>
    <t>Segment</t>
  </si>
  <si>
    <t>FY25A</t>
  </si>
  <si>
    <t>YoY %</t>
  </si>
  <si>
    <t>Share of FY26</t>
  </si>
  <si>
    <t>Risk relevance</t>
  </si>
  <si>
    <t>Heavy Commercial Vehicles</t>
  </si>
  <si>
    <t>Infrastructure / freight cycle</t>
  </si>
  <si>
    <t>Annual Report p.213</t>
  </si>
  <si>
    <t>Total sales</t>
  </si>
  <si>
    <t>ILMCV</t>
  </si>
  <si>
    <t>Industrial / e-commerce demand</t>
  </si>
  <si>
    <t>SCV &amp; Pick-up</t>
  </si>
  <si>
    <t>Last-mile / rural demand</t>
  </si>
  <si>
    <t>CV Passenger Vehicles</t>
  </si>
  <si>
    <t>Public transport / fleet replacement</t>
  </si>
  <si>
    <t>Total</t>
  </si>
  <si>
    <t>Overall volume sensitivity</t>
  </si>
  <si>
    <t>2. Market Share &amp; Growth Drivers</t>
  </si>
  <si>
    <t>Change</t>
  </si>
  <si>
    <t>Risk / Sensitivity Link</t>
  </si>
  <si>
    <t>HCV India market share</t>
  </si>
  <si>
    <t>Market share / volume resilience</t>
  </si>
  <si>
    <t>Highest in decade</t>
  </si>
  <si>
    <t>ILMCV India market share</t>
  </si>
  <si>
    <t>Competitive position</t>
  </si>
  <si>
    <t>SCV &amp; Pickup India market share</t>
  </si>
  <si>
    <t>Demand / competition</t>
  </si>
  <si>
    <t>CV Passenger Vehicles market share</t>
  </si>
  <si>
    <t>Total CV market share</t>
  </si>
  <si>
    <t>Overall competitive position</t>
  </si>
  <si>
    <t>International business growth</t>
  </si>
  <si>
    <t>Export / geopolitical sensitivity</t>
  </si>
  <si>
    <t>Annual Report p.215</t>
  </si>
  <si>
    <t>FY26 YoY</t>
  </si>
  <si>
    <t>EV sold</t>
  </si>
  <si>
    <t>Technology / capex sensitivity</t>
  </si>
  <si>
    <t>Annual Report p.15</t>
  </si>
  <si>
    <t>units</t>
  </si>
  <si>
    <t>FY26</t>
  </si>
  <si>
    <t>RAW RISK DRIVERS — SOURCE DATA FOR FINANCIAL SENSITIVITY</t>
  </si>
  <si>
    <t>Source-derived risk factors are mapped to the model variables that can be stressed in financial decision-making.</t>
  </si>
  <si>
    <t>1. Risk Drivers, Evidence &amp; Model Transmission</t>
  </si>
  <si>
    <t>Source Evidence</t>
  </si>
  <si>
    <t>Financial Variable</t>
  </si>
  <si>
    <t>Base Model</t>
  </si>
  <si>
    <t>Stress Direction</t>
  </si>
  <si>
    <t>Potential Outcome</t>
  </si>
  <si>
    <t>Commercial-vehicle demand is linked to infrastructure, freight and replacement cycles</t>
  </si>
  <si>
    <t>Revenue and UFCF decline</t>
  </si>
  <si>
    <t>Scenario buffers; quarterly reforecast</t>
  </si>
  <si>
    <t>Annual Report pp.20-25</t>
  </si>
  <si>
    <t>Exposure to aluminium, copper, platinum and palladium</t>
  </si>
  <si>
    <t>Gross margin and EBITDA decline</t>
  </si>
  <si>
    <t>Hedging; supplier contracts; pricing</t>
  </si>
  <si>
    <t>Annual Report pp.39,339</t>
  </si>
  <si>
    <t>Market risk includes interest-rate changes and debt/lease obligations remain exposed</t>
  </si>
  <si>
    <t>Interest cost and valuation pressure</t>
  </si>
  <si>
    <t>Rate hedges; liquidity buffer</t>
  </si>
  <si>
    <t>Annual Report pp.220,338</t>
  </si>
  <si>
    <t>Foreign-currency transactions and overseas operations create exposure</t>
  </si>
  <si>
    <t>Growth / margin</t>
  </si>
  <si>
    <t>Forwards/options; natural hedges</t>
  </si>
  <si>
    <t>Annual Report p.338</t>
  </si>
  <si>
    <t>West Asia disruption affected select sectors and export corridors</t>
  </si>
  <si>
    <t>Volumes and logistics cost pressure</t>
  </si>
  <si>
    <t>Alternate sourcing and routes</t>
  </si>
  <si>
    <t>Annual Report pp.14,25</t>
  </si>
  <si>
    <t>Battery electric and hydrogen investments require capital and ecosystem build-out</t>
  </si>
  <si>
    <t>Capex / revenue</t>
  </si>
  <si>
    <t>UFCF reduction / delayed returns</t>
  </si>
  <si>
    <t>Stage-gates; ROIC hurdles</t>
  </si>
  <si>
    <t>Annual Report pp.20-24</t>
  </si>
  <si>
    <t>FY26 cash generation benefited from working-capital changes</t>
  </si>
  <si>
    <t>NWC / revenue</t>
  </si>
  <si>
    <t>Cash absorption / lower UFCF</t>
  </si>
  <si>
    <t>Annual Report p.218</t>
  </si>
  <si>
    <t>2. Risk Scoring &amp; Decision Triggers</t>
  </si>
  <si>
    <t>Severity Score</t>
  </si>
  <si>
    <t>Likelihood Score</t>
  </si>
  <si>
    <t>Composite Score</t>
  </si>
  <si>
    <t>Stress Range</t>
  </si>
  <si>
    <t>Decision Trigger</t>
  </si>
  <si>
    <t>Recommended Action</t>
  </si>
  <si>
    <t>Monitoring KPI</t>
  </si>
  <si>
    <t>4%–10%</t>
  </si>
  <si>
    <t>Growth &lt; 5%</t>
  </si>
  <si>
    <t>Reforecast volumes</t>
  </si>
  <si>
    <t>Monthly/quarterly volumes</t>
  </si>
  <si>
    <t>10.5%–14.5%</t>
  </si>
  <si>
    <t>Margin &lt; 11.5%</t>
  </si>
  <si>
    <t>Review pricing + hedges</t>
  </si>
  <si>
    <t>Material cost %</t>
  </si>
  <si>
    <t>WACC / rate shock</t>
  </si>
  <si>
    <t>9%–13%</t>
  </si>
  <si>
    <t>WACC &gt; 12%</t>
  </si>
  <si>
    <t>Review funding mix</t>
  </si>
  <si>
    <t>Yields / interest cover</t>
  </si>
  <si>
    <t>-2% to +2%</t>
  </si>
  <si>
    <t>Hedge coverage below policy</t>
  </si>
  <si>
    <t>Increase hedging</t>
  </si>
  <si>
    <t>FX exposure</t>
  </si>
  <si>
    <t>Export disruption</t>
  </si>
  <si>
    <t>Diversify routes</t>
  </si>
  <si>
    <t>Lead time / orders</t>
  </si>
  <si>
    <t>2.5%–4.5%</t>
  </si>
  <si>
    <t>Capex &gt; 4.0%</t>
  </si>
  <si>
    <t>Stage-gate investments</t>
  </si>
  <si>
    <t>Capex vs plan</t>
  </si>
  <si>
    <t>4.5%–6.5%</t>
  </si>
  <si>
    <t>NWC &gt; 6.0%</t>
  </si>
  <si>
    <t>Tighten WC controls</t>
  </si>
  <si>
    <t>Inventory turns</t>
  </si>
  <si>
    <t>RAW SENSITIVITY DATA — FORMULA-DRIVEN OUTCOMES</t>
  </si>
  <si>
    <t>Presentation / audit layer for the sensitivity outputs in the core model. Values are copied from the sensitivity engine for easy review.</t>
  </si>
  <si>
    <t>1. Revenue Growth × WACC — Implied Share Value (₹ / share)</t>
  </si>
  <si>
    <t>2. EBITDA Margin × WACC — Implied Share Value (₹ / share)</t>
  </si>
  <si>
    <t>3. Interest Rate Shock Sensitivity</t>
  </si>
  <si>
    <t>4. Capex / Revenue Sensitivity</t>
  </si>
  <si>
    <t>RAW VALUATION INPUTS — BASE, DOWNSIDE &amp; UPSIDE</t>
  </si>
  <si>
    <t>1. Core DCF Assumptions &amp; Scenario Range</t>
  </si>
  <si>
    <t>FY26A / Base</t>
  </si>
  <si>
    <t>Source / Logic</t>
  </si>
  <si>
    <t>Risk Dimension</t>
  </si>
  <si>
    <t>Demand / macro</t>
  </si>
  <si>
    <t>Model assumption</t>
  </si>
  <si>
    <t>Tax / policy</t>
  </si>
  <si>
    <t>FY26A anchor</t>
  </si>
  <si>
    <t>Asset intensity</t>
  </si>
  <si>
    <t>Technology / expansion</t>
  </si>
  <si>
    <t>Rates / risk premium</t>
  </si>
  <si>
    <t>Long-run expectations</t>
  </si>
  <si>
    <t>Net cash adjustment</t>
  </si>
  <si>
    <t>Model bridge</t>
  </si>
  <si>
    <t>crore shares</t>
  </si>
  <si>
    <t>Per-share conversion</t>
  </si>
  <si>
    <t>2. Core Model Outputs (Linked)</t>
  </si>
  <si>
    <t>Output</t>
  </si>
  <si>
    <t>Why it matters</t>
  </si>
  <si>
    <t>Valuation sensitivity outcome</t>
  </si>
  <si>
    <t>Investor value after net cash</t>
  </si>
  <si>
    <t>Primary decision metric</t>
  </si>
  <si>
    <t>Current scenario</t>
  </si>
  <si>
    <t>Text</t>
  </si>
  <si>
    <t>Selected stress scenario</t>
  </si>
  <si>
    <t>Selected valuation target</t>
  </si>
  <si>
    <t>Cross-check vs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</si>
</sst>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[Red]\(#,##0\);\-"/>
    <numFmt numFmtId="165" formatCode="0.0%"/>
    <numFmt numFmtId="166" formatCode="\₹0.0;[Red]\(\₹0.0\);\-"/>
    <numFmt numFmtId="167" formatCode="\₹0.00;[Red]\(\₹0.00\);\-"/>
    <numFmt numFmtId="168" formatCode="0.00\x"/>
    <numFmt numFmtId="169" formatCode="\₹#,##0.0;[Red]\(\₹#,##0.0\);\-"/>
    <numFmt numFmtId="170" formatCode="\₹#,##0;[Red]\(\₹#,##0\);\-"/>
    <numFmt numFmtId="171" formatCode="#,##0.0"/>
  </numFmts>
  <fonts count="1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008000"/>
      <name val="Carlito"/>
    </font>
    <font>
      <b/>
      <sz val="11"/>
      <name val="Carlito"/>
    </font>
    <font>
      <sz val="11"/>
      <color rgb="FF0000FF"/>
      <name val="Carlito"/>
    </font>
    <font>
      <b/>
      <sz val="11"/>
      <color rgb="FF0000FF"/>
      <name val="Carlito"/>
    </font>
    <font>
      <b/>
      <sz val="14"/>
      <color rgb="FFFFFFFF"/>
      <name val="Carlito"/>
    </font>
    <font>
      <i/>
      <sz val="11"/>
      <name val="Carlito"/>
    </font>
    <font>
      <sz val="11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63A5F"/>
      </patternFill>
    </fill>
    <fill>
      <patternFill patternType="solid">
        <fgColor rgb="FFEEF4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3" fillId="0" borderId="0" xfId="0" applyNumberFormat="1" applyFont="1"/>
    <xf numFmtId="165" fontId="3" fillId="0" borderId="0" xfId="0" applyNumberFormat="1" applyFont="1"/>
    <xf numFmtId="0" fontId="5" fillId="5" borderId="0" xfId="0" applyFont="1" applyFill="1"/>
    <xf numFmtId="165" fontId="5" fillId="5" borderId="0" xfId="0" applyNumberFormat="1" applyFont="1" applyFill="1"/>
    <xf numFmtId="164" fontId="5" fillId="5" borderId="0" xfId="0" applyNumberFormat="1" applyFont="1" applyFill="1"/>
    <xf numFmtId="166" fontId="5" fillId="5" borderId="0" xfId="0" applyNumberFormat="1" applyFont="1" applyFill="1"/>
    <xf numFmtId="0" fontId="6" fillId="5" borderId="0" xfId="0" applyFont="1" applyFill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0" fontId="4" fillId="4" borderId="0" xfId="0" applyFont="1" applyFill="1" applyAlignment="1">
      <alignment horizontal="center" vertical="center" wrapText="1"/>
    </xf>
    <xf numFmtId="165" fontId="4" fillId="4" borderId="0" xfId="0" applyNumberFormat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69" fontId="0" fillId="0" borderId="0" xfId="0" applyNumberFormat="1"/>
    <xf numFmtId="170" fontId="0" fillId="0" borderId="0" xfId="0" applyNumberFormat="1"/>
    <xf numFmtId="165" fontId="5" fillId="10" borderId="0" xfId="0" applyNumberFormat="1" applyFont="1" applyFill="1" applyAlignment="1">
      <alignment wrapText="1"/>
    </xf>
    <xf numFmtId="171" fontId="0" fillId="0" borderId="0" xfId="0" applyNumberFormat="1" applyAlignment="1">
      <alignment wrapText="1"/>
    </xf>
    <xf numFmtId="170" fontId="0" fillId="0" borderId="0" xfId="0" applyNumberFormat="1" applyAlignment="1">
      <alignment wrapText="1"/>
    </xf>
    <xf numFmtId="169" fontId="0" fillId="0" borderId="0" xfId="0" applyNumberFormat="1" applyAlignment="1">
      <alignment wrapText="1"/>
    </xf>
    <xf numFmtId="164" fontId="9" fillId="0" borderId="0" xfId="0" applyNumberFormat="1" applyFont="1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7" fillId="6" borderId="0" xfId="0" applyFont="1" applyFill="1" applyAlignment="1">
      <alignment horizontal="left" vertical="center"/>
    </xf>
    <xf numFmtId="0" fontId="8" fillId="7" borderId="0" xfId="0" applyFont="1" applyFill="1" applyAlignment="1">
      <alignment wrapText="1"/>
    </xf>
    <xf numFmtId="0" fontId="2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Scenario Financial Outcomes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FY31E</c:v>
          </c:tx>
          <c:invertIfNegative val="1"/>
          <c:cat>
            <c:strRef>
              <c:f>'Risk Dashboard'!$A$11:$A$13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'Risk Dashboard'!$B$11:$B$13</c:f>
              <c:numCache>
                <c:formatCode>#,##0;[Red]\(#,##0\);\-</c:formatCode>
                <c:ptCount val="3"/>
                <c:pt idx="0">
                  <c:v>102022.42913075203</c:v>
                </c:pt>
                <c:pt idx="1">
                  <c:v>117610.97537784852</c:v>
                </c:pt>
                <c:pt idx="2">
                  <c:v>129021.31173813954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C-48CF-9E7A-4F66FFBD11F8}"/>
            </c:ext>
          </c:extLst>
        </c:ser>
        <c:ser>
          <c:idx val="1"/>
          <c:order val="1"/>
          <c:tx>
            <c:v>UFCF FY31E</c:v>
          </c:tx>
          <c:invertIfNegative val="1"/>
          <c:cat>
            <c:strRef>
              <c:f>'Risk Dashboard'!$A$11:$A$13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'Risk Dashboard'!$C$11:$C$13</c:f>
              <c:numCache>
                <c:formatCode>#,##0;[Red]\(#,##0\);\-</c:formatCode>
                <c:ptCount val="3"/>
                <c:pt idx="0">
                  <c:v>3814.0692736573455</c:v>
                </c:pt>
                <c:pt idx="1">
                  <c:v>7162.7282341098116</c:v>
                </c:pt>
                <c:pt idx="2">
                  <c:v>10961.484929826063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8C-48CF-9E7A-4F66FFBD11F8}"/>
            </c:ext>
          </c:extLst>
        </c:ser>
        <c:ser>
          <c:idx val="2"/>
          <c:order val="2"/>
          <c:tx>
            <c:v>DCF / Share</c:v>
          </c:tx>
          <c:invertIfNegative val="1"/>
          <c:cat>
            <c:strRef>
              <c:f>'Risk Dashboard'!$A$11:$A$13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'Risk Dashboard'!$D$11:$D$13</c:f>
              <c:numCache>
                <c:formatCode>\₹0.0;[Red]\(\₹0.0\);\-</c:formatCode>
                <c:ptCount val="3"/>
                <c:pt idx="0">
                  <c:v>104.09608695652177</c:v>
                </c:pt>
                <c:pt idx="1">
                  <c:v>239.50800352704621</c:v>
                </c:pt>
                <c:pt idx="2">
                  <c:v>505.12689642750303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8C-48CF-9E7A-4F66FFBD1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Capex Intensity vs DCF Value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FY31E UFCF</c:v>
          </c:tx>
          <c:marker>
            <c:symbol val="none"/>
          </c:marker>
          <c:cat>
            <c:numRef>
              <c:f>'Sensitivity Analysis'!$H$15:$H$19</c:f>
              <c:numCache>
                <c:formatCode>0.0%</c:formatCode>
                <c:ptCount val="5"/>
                <c:pt idx="0">
                  <c:v>2.5000000000000001E-2</c:v>
                </c:pt>
                <c:pt idx="1">
                  <c:v>0.03</c:v>
                </c:pt>
                <c:pt idx="2">
                  <c:v>3.5000000000000003E-2</c:v>
                </c:pt>
                <c:pt idx="3">
                  <c:v>0.04</c:v>
                </c:pt>
                <c:pt idx="4">
                  <c:v>4.4999999999999998E-2</c:v>
                </c:pt>
              </c:numCache>
            </c:numRef>
          </c:cat>
          <c:val>
            <c:numRef>
              <c:f>'Sensitivity Analysis'!$I$15:$I$19</c:f>
              <c:numCache>
                <c:formatCode>General</c:formatCode>
                <c:ptCount val="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6F-4E0D-86C5-BE5E50139DD8}"/>
            </c:ext>
          </c:extLst>
        </c:ser>
        <c:ser>
          <c:idx val="1"/>
          <c:order val="1"/>
          <c:tx>
            <c:v>DCF / Share</c:v>
          </c:tx>
          <c:marker>
            <c:symbol val="none"/>
          </c:marker>
          <c:cat>
            <c:numRef>
              <c:f>'Sensitivity Analysis'!$H$15:$H$19</c:f>
              <c:numCache>
                <c:formatCode>0.0%</c:formatCode>
                <c:ptCount val="5"/>
                <c:pt idx="0">
                  <c:v>2.5000000000000001E-2</c:v>
                </c:pt>
                <c:pt idx="1">
                  <c:v>0.03</c:v>
                </c:pt>
                <c:pt idx="2">
                  <c:v>3.5000000000000003E-2</c:v>
                </c:pt>
                <c:pt idx="3">
                  <c:v>0.04</c:v>
                </c:pt>
                <c:pt idx="4">
                  <c:v>4.4999999999999998E-2</c:v>
                </c:pt>
              </c:numCache>
            </c:numRef>
          </c:cat>
          <c:val>
            <c:numRef>
              <c:f>'Sensitivity Analysis'!$J$15:$J$19</c:f>
              <c:numCache>
                <c:formatCode>\₹0.0;[Red]\(\₹0.0\);\-</c:formatCode>
                <c:ptCount val="5"/>
                <c:pt idx="0">
                  <c:v>277.90590461959454</c:v>
                </c:pt>
                <c:pt idx="1">
                  <c:v>258.70695407332039</c:v>
                </c:pt>
                <c:pt idx="2">
                  <c:v>239.50800352704621</c:v>
                </c:pt>
                <c:pt idx="3">
                  <c:v>220.30905298077201</c:v>
                </c:pt>
                <c:pt idx="4">
                  <c:v>201.1101024344978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6F-4E0D-86C5-BE5E50139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FY26A Earnings &amp; Cash Metrics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FY26A</c:v>
          </c:tx>
          <c:invertIfNegative val="1"/>
          <c:cat>
            <c:strRef>
              <c:f>'Raw Financials'!$A$6:$A$10</c:f>
              <c:strCache>
                <c:ptCount val="5"/>
                <c:pt idx="0">
                  <c:v>Revenue from operations</c:v>
                </c:pt>
                <c:pt idx="1">
                  <c:v>Underlying EBITDA</c:v>
                </c:pt>
                <c:pt idx="2">
                  <c:v>Underlying EBIT</c:v>
                </c:pt>
                <c:pt idx="3">
                  <c:v>Profit after tax</c:v>
                </c:pt>
                <c:pt idx="4">
                  <c:v>Operating cash flow</c:v>
                </c:pt>
              </c:strCache>
            </c:strRef>
          </c:cat>
          <c:val>
            <c:numRef>
              <c:f>'Raw Financials'!$B$6:$B$10</c:f>
              <c:numCache>
                <c:formatCode>#,##0;[Red]\(#,##0\);\-</c:formatCode>
                <c:ptCount val="5"/>
                <c:pt idx="0">
                  <c:v>83855</c:v>
                </c:pt>
                <c:pt idx="1">
                  <c:v>10314</c:v>
                </c:pt>
                <c:pt idx="2">
                  <c:v>8538</c:v>
                </c:pt>
                <c:pt idx="3">
                  <c:v>3030</c:v>
                </c:pt>
                <c:pt idx="4">
                  <c:v>14981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6-4F2F-B5B5-9723F5E28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Debt, Cash &amp; Equity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'Raw Financials'!$A$8:$A$10</c:f>
              <c:strCache>
                <c:ptCount val="3"/>
                <c:pt idx="0">
                  <c:v>Underlying EBIT</c:v>
                </c:pt>
                <c:pt idx="1">
                  <c:v>Profit after tax</c:v>
                </c:pt>
                <c:pt idx="2">
                  <c:v>Operating cash flow</c:v>
                </c:pt>
              </c:strCache>
            </c:strRef>
          </c:cat>
          <c:val>
            <c:numRef>
              <c:f>'Raw Financials'!$B$8:$B$10</c:f>
              <c:numCache>
                <c:formatCode>#,##0;[Red]\(#,##0\);\-</c:formatCode>
                <c:ptCount val="3"/>
                <c:pt idx="0">
                  <c:v>8538</c:v>
                </c:pt>
                <c:pt idx="1">
                  <c:v>3030</c:v>
                </c:pt>
                <c:pt idx="2">
                  <c:v>14981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1-48C8-A613-350F4EC6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FY26 Vehicle Sales by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FY26A</c:v>
          </c:tx>
          <c:invertIfNegative val="1"/>
          <c:cat>
            <c:strRef>
              <c:f>'Raw Operations'!$A$5:$A$8</c:f>
              <c:strCache>
                <c:ptCount val="4"/>
                <c:pt idx="0">
                  <c:v>Heavy Commercial Vehicles</c:v>
                </c:pt>
                <c:pt idx="1">
                  <c:v>ILMCV</c:v>
                </c:pt>
                <c:pt idx="2">
                  <c:v>SCV &amp; Pick-up</c:v>
                </c:pt>
                <c:pt idx="3">
                  <c:v>CV Passenger Vehicles</c:v>
                </c:pt>
              </c:strCache>
            </c:strRef>
          </c:cat>
          <c:val>
            <c:numRef>
              <c:f>'Raw Operations'!$B$5:$B$8</c:f>
              <c:numCache>
                <c:formatCode>#,##0;[Red]\(#,##0\);\-</c:formatCode>
                <c:ptCount val="4"/>
                <c:pt idx="0">
                  <c:v>128292</c:v>
                </c:pt>
                <c:pt idx="1">
                  <c:v>86224</c:v>
                </c:pt>
                <c:pt idx="2">
                  <c:v>159398</c:v>
                </c:pt>
                <c:pt idx="3">
                  <c:v>61313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C-4388-A250-AB9FA11B3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India CV Market Share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FY26A</c:v>
          </c:tx>
          <c:invertIfNegative val="1"/>
          <c:cat>
            <c:strRef>
              <c:f>'Raw Operations'!$A$13:$A$17</c:f>
              <c:strCache>
                <c:ptCount val="5"/>
                <c:pt idx="0">
                  <c:v>HCV India market share</c:v>
                </c:pt>
                <c:pt idx="1">
                  <c:v>ILMCV India market share</c:v>
                </c:pt>
                <c:pt idx="2">
                  <c:v>SCV &amp; Pickup India market share</c:v>
                </c:pt>
                <c:pt idx="3">
                  <c:v>CV Passenger Vehicles market share</c:v>
                </c:pt>
                <c:pt idx="4">
                  <c:v>Total CV market share</c:v>
                </c:pt>
              </c:strCache>
            </c:strRef>
          </c:cat>
          <c:val>
            <c:numRef>
              <c:f>'Raw Operations'!$B$13:$B$17</c:f>
              <c:numCache>
                <c:formatCode>0.0%</c:formatCode>
                <c:ptCount val="5"/>
                <c:pt idx="0">
                  <c:v>0.55000000000000004</c:v>
                </c:pt>
                <c:pt idx="1">
                  <c:v>0.39500000000000002</c:v>
                </c:pt>
                <c:pt idx="2">
                  <c:v>0.26800000000000002</c:v>
                </c:pt>
                <c:pt idx="3">
                  <c:v>0.36399999999999999</c:v>
                </c:pt>
                <c:pt idx="4">
                  <c:v>0.35699999999999998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D-42DB-AB45-9EEBE9799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Risk Composite Scores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Severity Score</c:v>
          </c:tx>
          <c:invertIfNegative val="1"/>
          <c:cat>
            <c:strRef>
              <c:f>'Raw Risk Drivers'!$A$16:$A$22</c:f>
              <c:strCache>
                <c:ptCount val="7"/>
                <c:pt idx="0">
                  <c:v>CV demand / cyclicality</c:v>
                </c:pt>
                <c:pt idx="1">
                  <c:v>Commodity prices</c:v>
                </c:pt>
                <c:pt idx="2">
                  <c:v>Interest rates</c:v>
                </c:pt>
                <c:pt idx="3">
                  <c:v>FX volatility</c:v>
                </c:pt>
                <c:pt idx="4">
                  <c:v>Geopolitical / supply chain</c:v>
                </c:pt>
                <c:pt idx="5">
                  <c:v>EV / technology investment</c:v>
                </c:pt>
                <c:pt idx="6">
                  <c:v>Working capital</c:v>
                </c:pt>
              </c:strCache>
            </c:strRef>
          </c:cat>
          <c:val>
            <c:numRef>
              <c:f>'Raw Risk Drivers'!$B$16:$B$22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B-44E6-AD23-34B45760021A}"/>
            </c:ext>
          </c:extLst>
        </c:ser>
        <c:ser>
          <c:idx val="1"/>
          <c:order val="1"/>
          <c:tx>
            <c:v>Likelihood Score</c:v>
          </c:tx>
          <c:invertIfNegative val="1"/>
          <c:cat>
            <c:strRef>
              <c:f>'Raw Risk Drivers'!$A$16:$A$22</c:f>
              <c:strCache>
                <c:ptCount val="7"/>
                <c:pt idx="0">
                  <c:v>CV demand / cyclicality</c:v>
                </c:pt>
                <c:pt idx="1">
                  <c:v>Commodity prices</c:v>
                </c:pt>
                <c:pt idx="2">
                  <c:v>Interest rates</c:v>
                </c:pt>
                <c:pt idx="3">
                  <c:v>FX volatility</c:v>
                </c:pt>
                <c:pt idx="4">
                  <c:v>Geopolitical / supply chain</c:v>
                </c:pt>
                <c:pt idx="5">
                  <c:v>EV / technology investment</c:v>
                </c:pt>
                <c:pt idx="6">
                  <c:v>Working capital</c:v>
                </c:pt>
              </c:strCache>
            </c:strRef>
          </c:cat>
          <c:val>
            <c:numRef>
              <c:f>'Raw Risk Drivers'!$C$16:$C$22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1B-44E6-AD23-34B45760021A}"/>
            </c:ext>
          </c:extLst>
        </c:ser>
        <c:ser>
          <c:idx val="2"/>
          <c:order val="2"/>
          <c:tx>
            <c:v>Composite Score</c:v>
          </c:tx>
          <c:invertIfNegative val="1"/>
          <c:cat>
            <c:strRef>
              <c:f>'Raw Risk Drivers'!$A$16:$A$22</c:f>
              <c:strCache>
                <c:ptCount val="7"/>
                <c:pt idx="0">
                  <c:v>CV demand / cyclicality</c:v>
                </c:pt>
                <c:pt idx="1">
                  <c:v>Commodity prices</c:v>
                </c:pt>
                <c:pt idx="2">
                  <c:v>Interest rates</c:v>
                </c:pt>
                <c:pt idx="3">
                  <c:v>FX volatility</c:v>
                </c:pt>
                <c:pt idx="4">
                  <c:v>Geopolitical / supply chain</c:v>
                </c:pt>
                <c:pt idx="5">
                  <c:v>EV / technology investment</c:v>
                </c:pt>
                <c:pt idx="6">
                  <c:v>Working capital</c:v>
                </c:pt>
              </c:strCache>
            </c:strRef>
          </c:cat>
          <c:val>
            <c:numRef>
              <c:f>'Raw Risk Drivers'!$D$16:$D$22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1B-44E6-AD23-34B457600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Interest-Rate Shock vs EPS Impact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Incremental Interest</c:v>
          </c:tx>
          <c:marker>
            <c:symbol val="none"/>
          </c:marker>
          <c:cat>
            <c:numRef>
              <c:f>'Raw Sensitivity Data'!$A$14:$A$18</c:f>
              <c:numCache>
                <c:formatCode>0.0%</c:formatCode>
                <c:ptCount val="5"/>
                <c:pt idx="0">
                  <c:v>-0.02</c:v>
                </c:pt>
                <c:pt idx="1">
                  <c:v>-0.01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</c:numCache>
            </c:numRef>
          </c:cat>
          <c:val>
            <c:numRef>
              <c:f>'Raw Sensitivity Data'!$B$14:$B$18</c:f>
              <c:numCache>
                <c:formatCode>\₹#,##0.0;[Red]\(\₹#,##0.0\);\-</c:formatCode>
                <c:ptCount val="5"/>
                <c:pt idx="0">
                  <c:v>-137.97999999999999</c:v>
                </c:pt>
                <c:pt idx="1">
                  <c:v>-68.989999999999995</c:v>
                </c:pt>
                <c:pt idx="2">
                  <c:v>0</c:v>
                </c:pt>
                <c:pt idx="3">
                  <c:v>68.989999999999995</c:v>
                </c:pt>
                <c:pt idx="4">
                  <c:v>137.97999999999999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10-4E3D-BD02-D920C90D72DD}"/>
            </c:ext>
          </c:extLst>
        </c:ser>
        <c:ser>
          <c:idx val="1"/>
          <c:order val="1"/>
          <c:tx>
            <c:v>EPS Impact</c:v>
          </c:tx>
          <c:marker>
            <c:symbol val="none"/>
          </c:marker>
          <c:cat>
            <c:numRef>
              <c:f>'Raw Sensitivity Data'!$A$14:$A$18</c:f>
              <c:numCache>
                <c:formatCode>0.0%</c:formatCode>
                <c:ptCount val="5"/>
                <c:pt idx="0">
                  <c:v>-0.02</c:v>
                </c:pt>
                <c:pt idx="1">
                  <c:v>-0.01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</c:numCache>
            </c:numRef>
          </c:cat>
          <c:val>
            <c:numRef>
              <c:f>'Raw Sensitivity Data'!$C$14:$C$18</c:f>
              <c:numCache>
                <c:formatCode>\₹#,##0.0;[Red]\(\₹#,##0.0\);\-</c:formatCode>
                <c:ptCount val="5"/>
                <c:pt idx="0">
                  <c:v>0.28120923913043472</c:v>
                </c:pt>
                <c:pt idx="1">
                  <c:v>0.14060461956521736</c:v>
                </c:pt>
                <c:pt idx="2">
                  <c:v>0</c:v>
                </c:pt>
                <c:pt idx="3">
                  <c:v>-0.14060461956521736</c:v>
                </c:pt>
                <c:pt idx="4">
                  <c:v>-0.28120923913043472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310-4E3D-BD02-D920C90D7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.0;[Red]\(\₹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Capex / Revenue vs DCF Share Value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FY31E UFCF</c:v>
          </c:tx>
          <c:marker>
            <c:symbol val="none"/>
          </c:marker>
          <c:cat>
            <c:numRef>
              <c:f>'Raw Sensitivity Data'!$H$14:$H$18</c:f>
              <c:numCache>
                <c:formatCode>0.0%</c:formatCode>
                <c:ptCount val="5"/>
                <c:pt idx="0">
                  <c:v>2.5000000000000001E-2</c:v>
                </c:pt>
                <c:pt idx="1">
                  <c:v>0.03</c:v>
                </c:pt>
                <c:pt idx="2">
                  <c:v>3.5000000000000003E-2</c:v>
                </c:pt>
                <c:pt idx="3">
                  <c:v>0.04</c:v>
                </c:pt>
                <c:pt idx="4">
                  <c:v>4.4999999999999998E-2</c:v>
                </c:pt>
              </c:numCache>
            </c:numRef>
          </c:cat>
          <c:val>
            <c:numRef>
              <c:f>'Raw Sensitivity Data'!$I$14:$I$18</c:f>
              <c:numCache>
                <c:formatCode>\₹#,##0;[Red]\(\₹#,##0\);\-</c:formatCode>
                <c:ptCount val="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F1-49CC-AF89-23634F95E4F2}"/>
            </c:ext>
          </c:extLst>
        </c:ser>
        <c:ser>
          <c:idx val="1"/>
          <c:order val="1"/>
          <c:tx>
            <c:v>DCF / Share</c:v>
          </c:tx>
          <c:marker>
            <c:symbol val="none"/>
          </c:marker>
          <c:cat>
            <c:numRef>
              <c:f>'Raw Sensitivity Data'!$H$14:$H$18</c:f>
              <c:numCache>
                <c:formatCode>0.0%</c:formatCode>
                <c:ptCount val="5"/>
                <c:pt idx="0">
                  <c:v>2.5000000000000001E-2</c:v>
                </c:pt>
                <c:pt idx="1">
                  <c:v>0.03</c:v>
                </c:pt>
                <c:pt idx="2">
                  <c:v>3.5000000000000003E-2</c:v>
                </c:pt>
                <c:pt idx="3">
                  <c:v>0.04</c:v>
                </c:pt>
                <c:pt idx="4">
                  <c:v>4.4999999999999998E-2</c:v>
                </c:pt>
              </c:numCache>
            </c:numRef>
          </c:cat>
          <c:val>
            <c:numRef>
              <c:f>'Raw Sensitivity Data'!$J$14:$J$18</c:f>
              <c:numCache>
                <c:formatCode>\₹#,##0.0;[Red]\(\₹#,##0.0\);\-</c:formatCode>
                <c:ptCount val="5"/>
                <c:pt idx="0">
                  <c:v>253.50101331524675</c:v>
                </c:pt>
                <c:pt idx="1">
                  <c:v>234.30206276897258</c:v>
                </c:pt>
                <c:pt idx="2">
                  <c:v>215.10311222269837</c:v>
                </c:pt>
                <c:pt idx="3">
                  <c:v>195.90416167642417</c:v>
                </c:pt>
                <c:pt idx="4">
                  <c:v>176.70521113014999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F1-49CC-AF89-23634F95E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Base vs Downside vs Upside Assumptions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'Raw Valuation Inputs'!$A$5:$A$12</c:f>
              <c:strCache>
                <c:ptCount val="8"/>
                <c:pt idx="0">
                  <c:v>Revenue growth</c:v>
                </c:pt>
                <c:pt idx="1">
                  <c:v>EBITDA margin</c:v>
                </c:pt>
                <c:pt idx="2">
                  <c:v>Tax rate</c:v>
                </c:pt>
                <c:pt idx="3">
                  <c:v>D&amp;A / Revenue</c:v>
                </c:pt>
                <c:pt idx="4">
                  <c:v>Capex / Revenue</c:v>
                </c:pt>
                <c:pt idx="5">
                  <c:v>NWC / Revenue</c:v>
                </c:pt>
                <c:pt idx="6">
                  <c:v>WACC</c:v>
                </c:pt>
                <c:pt idx="7">
                  <c:v>Terminal growth</c:v>
                </c:pt>
              </c:strCache>
            </c:strRef>
          </c:cat>
          <c:val>
            <c:numRef>
              <c:f>'Raw Valuation Inputs'!$B$5:$B$12</c:f>
              <c:numCache>
                <c:formatCode>0.0%</c:formatCode>
                <c:ptCount val="8"/>
                <c:pt idx="0">
                  <c:v>7.0000000000000007E-2</c:v>
                </c:pt>
                <c:pt idx="1">
                  <c:v>0.125</c:v>
                </c:pt>
                <c:pt idx="2">
                  <c:v>0.25</c:v>
                </c:pt>
                <c:pt idx="3">
                  <c:v>2.3E-2</c:v>
                </c:pt>
                <c:pt idx="4">
                  <c:v>3.5000000000000003E-2</c:v>
                </c:pt>
                <c:pt idx="5">
                  <c:v>5.5E-2</c:v>
                </c:pt>
                <c:pt idx="6">
                  <c:v>0.11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5-415C-B918-2F24BB44A743}"/>
            </c:ext>
          </c:extLst>
        </c:ser>
        <c:ser>
          <c:idx val="1"/>
          <c:order val="1"/>
          <c:tx>
            <c:v>Series 2</c:v>
          </c:tx>
          <c:invertIfNegative val="1"/>
          <c:cat>
            <c:strRef>
              <c:f>'Raw Valuation Inputs'!$A$5:$A$12</c:f>
              <c:strCache>
                <c:ptCount val="8"/>
                <c:pt idx="0">
                  <c:v>Revenue growth</c:v>
                </c:pt>
                <c:pt idx="1">
                  <c:v>EBITDA margin</c:v>
                </c:pt>
                <c:pt idx="2">
                  <c:v>Tax rate</c:v>
                </c:pt>
                <c:pt idx="3">
                  <c:v>D&amp;A / Revenue</c:v>
                </c:pt>
                <c:pt idx="4">
                  <c:v>Capex / Revenue</c:v>
                </c:pt>
                <c:pt idx="5">
                  <c:v>NWC / Revenue</c:v>
                </c:pt>
                <c:pt idx="6">
                  <c:v>WACC</c:v>
                </c:pt>
                <c:pt idx="7">
                  <c:v>Terminal growth</c:v>
                </c:pt>
              </c:strCache>
            </c:strRef>
          </c:cat>
          <c:val>
            <c:numRef>
              <c:f>'Raw Valuation Inputs'!$C$5:$C$12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5-415C-B918-2F24BB44A743}"/>
            </c:ext>
          </c:extLst>
        </c:ser>
        <c:ser>
          <c:idx val="2"/>
          <c:order val="2"/>
          <c:tx>
            <c:v>Series 3</c:v>
          </c:tx>
          <c:invertIfNegative val="1"/>
          <c:cat>
            <c:strRef>
              <c:f>'Raw Valuation Inputs'!$A$5:$A$12</c:f>
              <c:strCache>
                <c:ptCount val="8"/>
                <c:pt idx="0">
                  <c:v>Revenue growth</c:v>
                </c:pt>
                <c:pt idx="1">
                  <c:v>EBITDA margin</c:v>
                </c:pt>
                <c:pt idx="2">
                  <c:v>Tax rate</c:v>
                </c:pt>
                <c:pt idx="3">
                  <c:v>D&amp;A / Revenue</c:v>
                </c:pt>
                <c:pt idx="4">
                  <c:v>Capex / Revenue</c:v>
                </c:pt>
                <c:pt idx="5">
                  <c:v>NWC / Revenue</c:v>
                </c:pt>
                <c:pt idx="6">
                  <c:v>WACC</c:v>
                </c:pt>
                <c:pt idx="7">
                  <c:v>Terminal growth</c:v>
                </c:pt>
              </c:strCache>
            </c:strRef>
          </c:cat>
          <c:val>
            <c:numRef>
              <c:f>'Raw Valuation Inputs'!$D$5:$D$12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5-415C-B918-2F24BB44A743}"/>
            </c:ext>
          </c:extLst>
        </c:ser>
        <c:ser>
          <c:idx val="3"/>
          <c:order val="3"/>
          <c:tx>
            <c:v>Series 4</c:v>
          </c:tx>
          <c:invertIfNegative val="1"/>
          <c:cat>
            <c:strRef>
              <c:f>'Raw Valuation Inputs'!$A$5:$A$12</c:f>
              <c:strCache>
                <c:ptCount val="8"/>
                <c:pt idx="0">
                  <c:v>Revenue growth</c:v>
                </c:pt>
                <c:pt idx="1">
                  <c:v>EBITDA margin</c:v>
                </c:pt>
                <c:pt idx="2">
                  <c:v>Tax rate</c:v>
                </c:pt>
                <c:pt idx="3">
                  <c:v>D&amp;A / Revenue</c:v>
                </c:pt>
                <c:pt idx="4">
                  <c:v>Capex / Revenue</c:v>
                </c:pt>
                <c:pt idx="5">
                  <c:v>NWC / Revenue</c:v>
                </c:pt>
                <c:pt idx="6">
                  <c:v>WACC</c:v>
                </c:pt>
                <c:pt idx="7">
                  <c:v>Terminal growth</c:v>
                </c:pt>
              </c:strCache>
            </c:strRef>
          </c:cat>
          <c:val>
            <c:numRef>
              <c:f>'Raw Valuation Inputs'!$E$5:$E$12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D5-415C-B918-2F24BB44A743}"/>
            </c:ext>
          </c:extLst>
        </c:ser>
        <c:ser>
          <c:idx val="4"/>
          <c:order val="4"/>
          <c:tx>
            <c:v>Series 5</c:v>
          </c:tx>
          <c:invertIfNegative val="1"/>
          <c:cat>
            <c:strRef>
              <c:f>'Raw Valuation Inputs'!$A$5:$A$12</c:f>
              <c:strCache>
                <c:ptCount val="8"/>
                <c:pt idx="0">
                  <c:v>Revenue growth</c:v>
                </c:pt>
                <c:pt idx="1">
                  <c:v>EBITDA margin</c:v>
                </c:pt>
                <c:pt idx="2">
                  <c:v>Tax rate</c:v>
                </c:pt>
                <c:pt idx="3">
                  <c:v>D&amp;A / Revenue</c:v>
                </c:pt>
                <c:pt idx="4">
                  <c:v>Capex / Revenue</c:v>
                </c:pt>
                <c:pt idx="5">
                  <c:v>NWC / Revenue</c:v>
                </c:pt>
                <c:pt idx="6">
                  <c:v>WACC</c:v>
                </c:pt>
                <c:pt idx="7">
                  <c:v>Terminal growth</c:v>
                </c:pt>
              </c:strCache>
            </c:strRef>
          </c:cat>
          <c:val>
            <c:numRef>
              <c:f>'Raw Valuation Inputs'!$F$5:$F$12</c:f>
              <c:numCache>
                <c:formatCode>0.0%</c:formatCode>
                <c:ptCount val="8"/>
                <c:pt idx="0">
                  <c:v>0.04</c:v>
                </c:pt>
                <c:pt idx="1">
                  <c:v>0.105</c:v>
                </c:pt>
                <c:pt idx="2">
                  <c:v>0.25</c:v>
                </c:pt>
                <c:pt idx="3">
                  <c:v>2.3E-2</c:v>
                </c:pt>
                <c:pt idx="4">
                  <c:v>4.4999999999999998E-2</c:v>
                </c:pt>
                <c:pt idx="5">
                  <c:v>6.5000000000000002E-2</c:v>
                </c:pt>
                <c:pt idx="6">
                  <c:v>0.12</c:v>
                </c:pt>
                <c:pt idx="7">
                  <c:v>3.5000000000000003E-2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D5-415C-B918-2F24BB44A743}"/>
            </c:ext>
          </c:extLst>
        </c:ser>
        <c:ser>
          <c:idx val="5"/>
          <c:order val="5"/>
          <c:tx>
            <c:v>Series 6</c:v>
          </c:tx>
          <c:invertIfNegative val="1"/>
          <c:cat>
            <c:strRef>
              <c:f>'Raw Valuation Inputs'!$A$5:$A$12</c:f>
              <c:strCache>
                <c:ptCount val="8"/>
                <c:pt idx="0">
                  <c:v>Revenue growth</c:v>
                </c:pt>
                <c:pt idx="1">
                  <c:v>EBITDA margin</c:v>
                </c:pt>
                <c:pt idx="2">
                  <c:v>Tax rate</c:v>
                </c:pt>
                <c:pt idx="3">
                  <c:v>D&amp;A / Revenue</c:v>
                </c:pt>
                <c:pt idx="4">
                  <c:v>Capex / Revenue</c:v>
                </c:pt>
                <c:pt idx="5">
                  <c:v>NWC / Revenue</c:v>
                </c:pt>
                <c:pt idx="6">
                  <c:v>WACC</c:v>
                </c:pt>
                <c:pt idx="7">
                  <c:v>Terminal growth</c:v>
                </c:pt>
              </c:strCache>
            </c:strRef>
          </c:cat>
          <c:val>
            <c:numRef>
              <c:f>'Raw Valuation Inputs'!$G$5:$G$12</c:f>
              <c:numCache>
                <c:formatCode>0.0%</c:formatCode>
                <c:ptCount val="8"/>
                <c:pt idx="0">
                  <c:v>7.0000000000000007E-2</c:v>
                </c:pt>
                <c:pt idx="1">
                  <c:v>0.125</c:v>
                </c:pt>
                <c:pt idx="2">
                  <c:v>0.25</c:v>
                </c:pt>
                <c:pt idx="3">
                  <c:v>2.3E-2</c:v>
                </c:pt>
                <c:pt idx="4">
                  <c:v>3.5000000000000003E-2</c:v>
                </c:pt>
                <c:pt idx="5">
                  <c:v>5.5E-2</c:v>
                </c:pt>
                <c:pt idx="6">
                  <c:v>0.11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D5-415C-B918-2F24BB44A743}"/>
            </c:ext>
          </c:extLst>
        </c:ser>
        <c:ser>
          <c:idx val="6"/>
          <c:order val="6"/>
          <c:tx>
            <c:v>Series 7</c:v>
          </c:tx>
          <c:invertIfNegative val="1"/>
          <c:cat>
            <c:strRef>
              <c:f>'Raw Valuation Inputs'!$A$5:$A$12</c:f>
              <c:strCache>
                <c:ptCount val="8"/>
                <c:pt idx="0">
                  <c:v>Revenue growth</c:v>
                </c:pt>
                <c:pt idx="1">
                  <c:v>EBITDA margin</c:v>
                </c:pt>
                <c:pt idx="2">
                  <c:v>Tax rate</c:v>
                </c:pt>
                <c:pt idx="3">
                  <c:v>D&amp;A / Revenue</c:v>
                </c:pt>
                <c:pt idx="4">
                  <c:v>Capex / Revenue</c:v>
                </c:pt>
                <c:pt idx="5">
                  <c:v>NWC / Revenue</c:v>
                </c:pt>
                <c:pt idx="6">
                  <c:v>WACC</c:v>
                </c:pt>
                <c:pt idx="7">
                  <c:v>Terminal growth</c:v>
                </c:pt>
              </c:strCache>
            </c:strRef>
          </c:cat>
          <c:val>
            <c:numRef>
              <c:f>'Raw Valuation Inputs'!$H$5:$H$12</c:f>
              <c:numCache>
                <c:formatCode>0.0%</c:formatCode>
                <c:ptCount val="8"/>
                <c:pt idx="0">
                  <c:v>0.1</c:v>
                </c:pt>
                <c:pt idx="1">
                  <c:v>0.14499999999999999</c:v>
                </c:pt>
                <c:pt idx="2">
                  <c:v>0.25</c:v>
                </c:pt>
                <c:pt idx="3">
                  <c:v>2.3E-2</c:v>
                </c:pt>
                <c:pt idx="4">
                  <c:v>2.5000000000000001E-2</c:v>
                </c:pt>
                <c:pt idx="5">
                  <c:v>4.4999999999999998E-2</c:v>
                </c:pt>
                <c:pt idx="6">
                  <c:v>0.1</c:v>
                </c:pt>
                <c:pt idx="7">
                  <c:v>4.4999999999999998E-2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D5-415C-B918-2F24BB44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11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28</xdr:row>
      <xdr:rowOff>0</xdr:rowOff>
    </xdr:from>
    <xdr:to>
      <xdr:col>19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sqref="A1:L1"/>
    </sheetView>
  </sheetViews>
  <sheetFormatPr defaultRowHeight="13.8"/>
  <cols>
    <col min="1" max="1" width="25" customWidth="1"/>
    <col min="2" max="3" width="16" customWidth="1"/>
    <col min="4" max="4" width="20" customWidth="1"/>
    <col min="5" max="5" width="14" customWidth="1"/>
    <col min="6" max="7" width="18" customWidth="1"/>
    <col min="8" max="8" width="22" customWidth="1"/>
    <col min="9" max="10" width="18" customWidth="1"/>
    <col min="11" max="11" width="15" customWidth="1"/>
    <col min="12" max="12" width="20" customWidth="1"/>
    <col min="13" max="13" width="14" customWidth="1"/>
  </cols>
  <sheetData>
    <row r="1" spans="1:12" ht="2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2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27.6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3" t="s">
        <v>13</v>
      </c>
      <c r="L5" s="13" t="s">
        <v>14</v>
      </c>
    </row>
    <row r="6" spans="1:12">
      <c r="A6" s="9">
        <f>'Risk Inputs'!B4</f>
        <v>83855</v>
      </c>
      <c r="B6" s="9">
        <f>'Risk Inputs'!B5</f>
        <v>10314</v>
      </c>
      <c r="C6" t="str">
        <f>'Scenario Manager'!B11</f>
        <v>Base</v>
      </c>
      <c r="D6" s="10">
        <f>'DCF Stress Test'!B27</f>
        <v>239.50800352704621</v>
      </c>
      <c r="E6" s="8">
        <f>'Risk Inputs'!B26</f>
        <v>0.11</v>
      </c>
      <c r="F6" s="8">
        <f>'Scenario Manager'!B19</f>
        <v>0</v>
      </c>
      <c r="G6" s="8">
        <f>'Scenario Manager'!B18</f>
        <v>3.5000000000000003E-2</v>
      </c>
      <c r="H6" t="s">
        <v>15</v>
      </c>
      <c r="I6" s="10">
        <f>'Risk Inputs'!B27</f>
        <v>874</v>
      </c>
      <c r="J6" s="8">
        <f>'DCF Stress Test'!B27/'Risk Inputs'!B27-1</f>
        <v>-0.72596338269216676</v>
      </c>
      <c r="K6" t="s">
        <v>16</v>
      </c>
      <c r="L6" t="str">
        <f>IF(J6&lt;0,"Cautious","Monitor")</f>
        <v>Cautious</v>
      </c>
    </row>
    <row r="9" spans="1:12">
      <c r="A9" s="28" t="s">
        <v>17</v>
      </c>
      <c r="B9" s="28"/>
      <c r="C9" s="28"/>
      <c r="D9" s="28"/>
      <c r="E9" s="28"/>
      <c r="F9" s="28"/>
      <c r="H9" s="28" t="s">
        <v>18</v>
      </c>
      <c r="I9" s="28"/>
      <c r="J9" s="28"/>
      <c r="K9" s="28"/>
      <c r="L9" s="28"/>
    </row>
    <row r="10" spans="1:12">
      <c r="A10" s="13" t="s">
        <v>19</v>
      </c>
      <c r="B10" s="13" t="s">
        <v>20</v>
      </c>
      <c r="C10" s="13" t="s">
        <v>21</v>
      </c>
      <c r="D10" s="13" t="s">
        <v>22</v>
      </c>
      <c r="E10" s="13" t="s">
        <v>23</v>
      </c>
      <c r="F10" s="13" t="s">
        <v>24</v>
      </c>
      <c r="H10" s="13" t="s">
        <v>25</v>
      </c>
      <c r="I10" s="13" t="s">
        <v>26</v>
      </c>
      <c r="J10" s="13" t="s">
        <v>27</v>
      </c>
      <c r="K10" s="13" t="s">
        <v>28</v>
      </c>
      <c r="L10" s="13" t="s">
        <v>29</v>
      </c>
    </row>
    <row r="11" spans="1:12">
      <c r="A11" t="s">
        <v>30</v>
      </c>
      <c r="B11" s="9">
        <f>'Risk Inputs'!B4*(1+'Scenario Manager'!B4)^5</f>
        <v>102022.42913075203</v>
      </c>
      <c r="C11" s="9">
        <f>(((('Risk Inputs'!$B$4*(1+'Scenario Manager'!B4)^5)*'Scenario Manager'!B5)-(('Risk Inputs'!$B$4*(1+'Scenario Manager'!B4)^5)*'Risk Inputs'!$B$22))*(1-'Risk Inputs'!$B$21))+(('Risk Inputs'!$B$4*(1+'Scenario Manager'!B4)^5)*'Risk Inputs'!$B$22)-(('Risk Inputs'!$B$4*(1+'Scenario Manager'!B4)^5)*'Scenario Manager'!B7)-((('Risk Inputs'!$B$4*(1+'Scenario Manager'!B4)^5)*'Risk Inputs'!$B$24)-(('Risk Inputs'!$B$4*(1+'Scenario Manager'!B4)^4)*'Risk Inputs'!$B$24))</f>
        <v>3814.0692736573455</v>
      </c>
      <c r="D11" s="10">
        <f>(((((((('Risk Inputs'!$B$4*(1+'Scenario Manager'!B4))*'Scenario Manager'!B5)-(('Risk Inputs'!$B$4*(1+'Scenario Manager'!B4))*'Risk Inputs'!$B$22))*(1-'Risk Inputs'!$B$21))+(('Risk Inputs'!$B$4*(1+'Scenario Manager'!B4))*'Risk Inputs'!$B$22)-(('Risk Inputs'!$B$4*(1+'Scenario Manager'!B4))*'Scenario Manager'!B7)-((('Risk Inputs'!$B$4*(1+'Scenario Manager'!B4))*'Risk Inputs'!$B$24)-('Risk Inputs'!$B$4*'Risk Inputs'!$B$24)))/(1+'Scenario Manager'!B6)^1)+((((((('Risk Inputs'!$B$4*(1+'Scenario Manager'!B4))*(1+'Scenario Manager'!B4))*'Scenario Manager'!B5)-((('Risk Inputs'!$B$4*(1+'Scenario Manager'!B4))*(1+'Scenario Manager'!B4))*'Risk Inputs'!$B$22))*(1-'Risk Inputs'!$B$21))+((('Risk Inputs'!$B$4*(1+'Scenario Manager'!B4))*(1+'Scenario Manager'!B4))*'Risk Inputs'!$B$22)-((('Risk Inputs'!$B$4*(1+'Scenario Manager'!B4))*(1+'Scenario Manager'!B4))*'Scenario Manager'!B7)-(((('Risk Inputs'!$B$4*(1+'Scenario Manager'!B4))*(1+'Scenario Manager'!B4))*'Risk Inputs'!$B$24)-(('Risk Inputs'!$B$4*(1+'Scenario Manager'!B4))*'Risk Inputs'!$B$24)))/(1+'Scenario Manager'!B6)^2)+(((((((('Risk Inputs'!$B$4*(1+'Scenario Manager'!B4))*(1+'Scenario Manager'!B4))*(1+'Scenario Manager'!B4))*'Scenario Manager'!B5)-(((('Risk Inputs'!$B$4*(1+'Scenario Manager'!B4))*(1+'Scenario Manager'!B4))*(1+'Scenario Manager'!B4))*'Risk Inputs'!$B$22))*(1-'Risk Inputs'!$B$21))+(((('Risk Inputs'!$B$4*(1+'Scenario Manager'!B4))*(1+'Scenario Manager'!B4))*(1+'Scenario Manager'!B4))*'Risk Inputs'!$B$22)-(((('Risk Inputs'!$B$4*(1+'Scenario Manager'!B4))*(1+'Scenario Manager'!B4))*(1+'Scenario Manager'!B4))*'Scenario Manager'!B7)-((((('Risk Inputs'!$B$4*(1+'Scenario Manager'!B4))*(1+'Scenario Manager'!B4))*(1+'Scenario Manager'!B4))*'Risk Inputs'!$B$24)-((('Risk Inputs'!$B$4*(1+'Scenario Manager'!B4))*(1+'Scenario Manager'!B4))*'Risk Inputs'!$B$24)))/(1+'Scenario Manager'!B6)^3)+((((((((('Risk Inputs'!$B$4*(1+'Scenario Manager'!B4))*(1+'Scenario Manager'!B4))*(1+'Scenario Manager'!B4))*(1+'Scenario Manager'!B4))*'Scenario Manager'!B5)-((((('Risk Inputs'!$B$4*(1+'Scenario Manager'!B4))*(1+'Scenario Manager'!B4))*(1+'Scenario Manager'!B4))*(1+'Scenario Manager'!B4))*'Risk Inputs'!$B$22))*(1-'Risk Inputs'!$B$21))+((((('Risk Inputs'!$B$4*(1+'Scenario Manager'!B4))*(1+'Scenario Manager'!B4))*(1+'Scenario Manager'!B4))*(1+'Scenario Manager'!B4))*'Risk Inputs'!$B$22)-((((('Risk Inputs'!$B$4*(1+'Scenario Manager'!B4))*(1+'Scenario Manager'!B4))*(1+'Scenario Manager'!B4))*(1+'Scenario Manager'!B4))*'Scenario Manager'!B7)-(((((('Risk Inputs'!$B$4*(1+'Scenario Manager'!B4))*(1+'Scenario Manager'!B4))*(1+'Scenario Manager'!B4))*(1+'Scenario Manager'!B4))*'Risk Inputs'!$B$24)-(((('Risk Inputs'!$B$4*(1+'Scenario Manager'!B4))*(1+'Scenario Manager'!B4))*(1+'Scenario Manager'!B4))*'Risk Inputs'!$B$24)))/(1+'Scenario Manager'!B6)^4)+(((((((((('Risk Inputs'!$B$4*(1+'Scenario Manager'!B4))*(1+'Scenario Manager'!B4))*(1+'Scenario Manager'!B4))*(1+'Scenario Manager'!B4))*(1+'Scenario Manager'!B4))*'Scenario Manager'!B5)-(((((('Risk Inputs'!$B$4*(1+'Scenario Manager'!B4))*(1+'Scenario Manager'!B4))*(1+'Scenario Manager'!B4))*(1+'Scenario Manager'!B4))*(1+'Scenario Manager'!B4))*'Risk Inputs'!$B$22))*(1-'Risk Inputs'!$B$21))+(((((('Risk Inputs'!$B$4*(1+'Scenario Manager'!B4))*(1+'Scenario Manager'!B4))*(1+'Scenario Manager'!B4))*(1+'Scenario Manager'!B4))*(1+'Scenario Manager'!B4))*'Risk Inputs'!$B$22)-(((((('Risk Inputs'!$B$4*(1+'Scenario Manager'!B4))*(1+'Scenario Manager'!B4))*(1+'Scenario Manager'!B4))*(1+'Scenario Manager'!B4))*(1+'Scenario Manager'!B4))*'Scenario Manager'!B7)-((((((('Risk Inputs'!$B$4*(1+'Scenario Manager'!B4))*(1+'Scenario Manager'!B4))*(1+'Scenario Manager'!B4))*(1+'Scenario Manager'!B4))*(1+'Scenario Manager'!B4))*'Risk Inputs'!$B$24)-((((('Risk Inputs'!$B$4*(1+'Scenario Manager'!B4))*(1+'Scenario Manager'!B4))*(1+'Scenario Manager'!B4))*(1+'Scenario Manager'!B4))*'Risk Inputs'!$B$24)))/(1+'Scenario Manager'!B6)^5)+((((((((((('Risk Inputs'!$B$4*(1+'Scenario Manager'!B4))*(1+'Scenario Manager'!B4))*(1+'Scenario Manager'!B4))*(1+'Scenario Manager'!B4))*(1+'Scenario Manager'!B4))*'Scenario Manager'!B5)-(((((('Risk Inputs'!$B$4*(1+'Scenario Manager'!B4))*(1+'Scenario Manager'!B4))*(1+'Scenario Manager'!B4))*(1+'Scenario Manager'!B4))*(1+'Scenario Manager'!B4))*'Risk Inputs'!$B$22))*(1-'Risk Inputs'!$B$21))+(((((('Risk Inputs'!$B$4*(1+'Scenario Manager'!B4))*(1+'Scenario Manager'!B4))*(1+'Scenario Manager'!B4))*(1+'Scenario Manager'!B4))*(1+'Scenario Manager'!B4))*'Risk Inputs'!$B$22)-(((((('Risk Inputs'!$B$4*(1+'Scenario Manager'!B4))*(1+'Scenario Manager'!B4))*(1+'Scenario Manager'!B4))*(1+'Scenario Manager'!B4))*(1+'Scenario Manager'!B4))*'Scenario Manager'!B7)-((((((('Risk Inputs'!$B$4*(1+'Scenario Manager'!B4))*(1+'Scenario Manager'!B4))*(1+'Scenario Manager'!B4))*(1+'Scenario Manager'!B4))*(1+'Scenario Manager'!B4))*'Risk Inputs'!$B$24)-((((('Risk Inputs'!$B$4*(1+'Scenario Manager'!B4))*(1+'Scenario Manager'!B4))*(1+'Scenario Manager'!B4))*(1+'Scenario Manager'!B4))*'Risk Inputs'!$B$24)))*(1+'Risk Inputs'!$B$25)/('Scenario Manager'!B6-'Risk Inputs'!$B$25))/(1+'Scenario Manager'!B6)^5))+'Risk Inputs'!$B$13)/'Risk Inputs'!$B$14</f>
        <v>104.09608695652177</v>
      </c>
      <c r="E11" s="8">
        <f>D11/'Risk Inputs'!B27-1</f>
        <v>-0.88089692567903688</v>
      </c>
      <c r="F11" t="s">
        <v>31</v>
      </c>
      <c r="H11" s="12" t="s">
        <v>32</v>
      </c>
      <c r="I11" s="12" t="s">
        <v>33</v>
      </c>
      <c r="J11" s="12" t="s">
        <v>34</v>
      </c>
      <c r="K11" s="12" t="s">
        <v>35</v>
      </c>
      <c r="L11" s="12" t="s">
        <v>36</v>
      </c>
    </row>
    <row r="12" spans="1:12">
      <c r="A12" t="s">
        <v>26</v>
      </c>
      <c r="B12" s="9">
        <f>'Risk Inputs'!B4*(1+'Scenario Manager'!C4)^5</f>
        <v>117610.97537784852</v>
      </c>
      <c r="C12" s="9">
        <f>(((('Risk Inputs'!$B$4*(1+'Scenario Manager'!C4)^5)*'Scenario Manager'!C5)-(('Risk Inputs'!$B$4*(1+'Scenario Manager'!C4)^5)*'Risk Inputs'!$B$22))*(1-'Risk Inputs'!$B$21))+(('Risk Inputs'!$B$4*(1+'Scenario Manager'!C4)^5)*'Risk Inputs'!$B$22)-(('Risk Inputs'!$B$4*(1+'Scenario Manager'!C4)^5)*'Scenario Manager'!C7)-((('Risk Inputs'!$B$4*(1+'Scenario Manager'!C4)^5)*'Risk Inputs'!$B$24)-(('Risk Inputs'!$B$4*(1+'Scenario Manager'!C4)^4)*'Risk Inputs'!$B$24))</f>
        <v>7162.7282341098116</v>
      </c>
      <c r="D12" s="10">
        <f>(((((((('Risk Inputs'!$B$4*(1+'Scenario Manager'!C4))*'Scenario Manager'!C5)-(('Risk Inputs'!$B$4*(1+'Scenario Manager'!C4))*'Risk Inputs'!$B$22))*(1-'Risk Inputs'!$B$21))+(('Risk Inputs'!$B$4*(1+'Scenario Manager'!C4))*'Risk Inputs'!$B$22)-(('Risk Inputs'!$B$4*(1+'Scenario Manager'!C4))*'Scenario Manager'!C7)-((('Risk Inputs'!$B$4*(1+'Scenario Manager'!C4))*'Risk Inputs'!$B$24)-('Risk Inputs'!$B$4*'Risk Inputs'!$B$24)))/(1+'Scenario Manager'!C6)^1)+((((((('Risk Inputs'!$B$4*(1+'Scenario Manager'!C4))*(1+'Scenario Manager'!C4))*'Scenario Manager'!C5)-((('Risk Inputs'!$B$4*(1+'Scenario Manager'!C4))*(1+'Scenario Manager'!C4))*'Risk Inputs'!$B$22))*(1-'Risk Inputs'!$B$21))+((('Risk Inputs'!$B$4*(1+'Scenario Manager'!C4))*(1+'Scenario Manager'!C4))*'Risk Inputs'!$B$22)-((('Risk Inputs'!$B$4*(1+'Scenario Manager'!C4))*(1+'Scenario Manager'!C4))*'Scenario Manager'!C7)-(((('Risk Inputs'!$B$4*(1+'Scenario Manager'!C4))*(1+'Scenario Manager'!C4))*'Risk Inputs'!$B$24)-(('Risk Inputs'!$B$4*(1+'Scenario Manager'!C4))*'Risk Inputs'!$B$24)))/(1+'Scenario Manager'!C6)^2)+(((((((('Risk Inputs'!$B$4*(1+'Scenario Manager'!C4))*(1+'Scenario Manager'!C4))*(1+'Scenario Manager'!C4))*'Scenario Manager'!C5)-(((('Risk Inputs'!$B$4*(1+'Scenario Manager'!C4))*(1+'Scenario Manager'!C4))*(1+'Scenario Manager'!C4))*'Risk Inputs'!$B$22))*(1-'Risk Inputs'!$B$21))+(((('Risk Inputs'!$B$4*(1+'Scenario Manager'!C4))*(1+'Scenario Manager'!C4))*(1+'Scenario Manager'!C4))*'Risk Inputs'!$B$22)-(((('Risk Inputs'!$B$4*(1+'Scenario Manager'!C4))*(1+'Scenario Manager'!C4))*(1+'Scenario Manager'!C4))*'Scenario Manager'!C7)-((((('Risk Inputs'!$B$4*(1+'Scenario Manager'!C4))*(1+'Scenario Manager'!C4))*(1+'Scenario Manager'!C4))*'Risk Inputs'!$B$24)-((('Risk Inputs'!$B$4*(1+'Scenario Manager'!C4))*(1+'Scenario Manager'!C4))*'Risk Inputs'!$B$24)))/(1+'Scenario Manager'!C6)^3)+((((((((('Risk Inputs'!$B$4*(1+'Scenario Manager'!C4))*(1+'Scenario Manager'!C4))*(1+'Scenario Manager'!C4))*(1+'Scenario Manager'!C4))*'Scenario Manager'!C5)-((((('Risk Inputs'!$B$4*(1+'Scenario Manager'!C4))*(1+'Scenario Manager'!C4))*(1+'Scenario Manager'!C4))*(1+'Scenario Manager'!C4))*'Risk Inputs'!$B$22))*(1-'Risk Inputs'!$B$21))+((((('Risk Inputs'!$B$4*(1+'Scenario Manager'!C4))*(1+'Scenario Manager'!C4))*(1+'Scenario Manager'!C4))*(1+'Scenario Manager'!C4))*'Risk Inputs'!$B$22)-((((('Risk Inputs'!$B$4*(1+'Scenario Manager'!C4))*(1+'Scenario Manager'!C4))*(1+'Scenario Manager'!C4))*(1+'Scenario Manager'!C4))*'Scenario Manager'!C7)-(((((('Risk Inputs'!$B$4*(1+'Scenario Manager'!C4))*(1+'Scenario Manager'!C4))*(1+'Scenario Manager'!C4))*(1+'Scenario Manager'!C4))*'Risk Inputs'!$B$24)-(((('Risk Inputs'!$B$4*(1+'Scenario Manager'!C4))*(1+'Scenario Manager'!C4))*(1+'Scenario Manager'!C4))*'Risk Inputs'!$B$24)))/(1+'Scenario Manager'!C6)^4)+(((((((((('Risk Inputs'!$B$4*(1+'Scenario Manager'!C4))*(1+'Scenario Manager'!C4))*(1+'Scenario Manager'!C4))*(1+'Scenario Manager'!C4))*(1+'Scenario Manager'!C4))*'Scenario Manager'!C5)-(((((('Risk Inputs'!$B$4*(1+'Scenario Manager'!C4))*(1+'Scenario Manager'!C4))*(1+'Scenario Manager'!C4))*(1+'Scenario Manager'!C4))*(1+'Scenario Manager'!C4))*'Risk Inputs'!$B$22))*(1-'Risk Inputs'!$B$21))+(((((('Risk Inputs'!$B$4*(1+'Scenario Manager'!C4))*(1+'Scenario Manager'!C4))*(1+'Scenario Manager'!C4))*(1+'Scenario Manager'!C4))*(1+'Scenario Manager'!C4))*'Risk Inputs'!$B$22)-(((((('Risk Inputs'!$B$4*(1+'Scenario Manager'!C4))*(1+'Scenario Manager'!C4))*(1+'Scenario Manager'!C4))*(1+'Scenario Manager'!C4))*(1+'Scenario Manager'!C4))*'Scenario Manager'!C7)-((((((('Risk Inputs'!$B$4*(1+'Scenario Manager'!C4))*(1+'Scenario Manager'!C4))*(1+'Scenario Manager'!C4))*(1+'Scenario Manager'!C4))*(1+'Scenario Manager'!C4))*'Risk Inputs'!$B$24)-((((('Risk Inputs'!$B$4*(1+'Scenario Manager'!C4))*(1+'Scenario Manager'!C4))*(1+'Scenario Manager'!C4))*(1+'Scenario Manager'!C4))*'Risk Inputs'!$B$24)))/(1+'Scenario Manager'!C6)^5)+((((((((((('Risk Inputs'!$B$4*(1+'Scenario Manager'!C4))*(1+'Scenario Manager'!C4))*(1+'Scenario Manager'!C4))*(1+'Scenario Manager'!C4))*(1+'Scenario Manager'!C4))*'Scenario Manager'!C5)-(((((('Risk Inputs'!$B$4*(1+'Scenario Manager'!C4))*(1+'Scenario Manager'!C4))*(1+'Scenario Manager'!C4))*(1+'Scenario Manager'!C4))*(1+'Scenario Manager'!C4))*'Risk Inputs'!$B$22))*(1-'Risk Inputs'!$B$21))+(((((('Risk Inputs'!$B$4*(1+'Scenario Manager'!C4))*(1+'Scenario Manager'!C4))*(1+'Scenario Manager'!C4))*(1+'Scenario Manager'!C4))*(1+'Scenario Manager'!C4))*'Risk Inputs'!$B$22)-(((((('Risk Inputs'!$B$4*(1+'Scenario Manager'!C4))*(1+'Scenario Manager'!C4))*(1+'Scenario Manager'!C4))*(1+'Scenario Manager'!C4))*(1+'Scenario Manager'!C4))*'Scenario Manager'!C7)-((((((('Risk Inputs'!$B$4*(1+'Scenario Manager'!C4))*(1+'Scenario Manager'!C4))*(1+'Scenario Manager'!C4))*(1+'Scenario Manager'!C4))*(1+'Scenario Manager'!C4))*'Risk Inputs'!$B$24)-((((('Risk Inputs'!$B$4*(1+'Scenario Manager'!C4))*(1+'Scenario Manager'!C4))*(1+'Scenario Manager'!C4))*(1+'Scenario Manager'!C4))*'Risk Inputs'!$B$24)))*(1+'Risk Inputs'!$B$25)/('Scenario Manager'!C6-'Risk Inputs'!$B$25))/(1+'Scenario Manager'!C6)^5))+'Risk Inputs'!$B$13)/'Risk Inputs'!$B$14</f>
        <v>239.50800352704621</v>
      </c>
      <c r="E12" s="8">
        <f>D12/'Risk Inputs'!B27-1</f>
        <v>-0.72596338269216676</v>
      </c>
      <c r="F12" t="s">
        <v>37</v>
      </c>
      <c r="H12" s="12" t="s">
        <v>38</v>
      </c>
      <c r="I12" s="12" t="s">
        <v>39</v>
      </c>
      <c r="J12" s="12" t="s">
        <v>40</v>
      </c>
      <c r="K12" s="12" t="s">
        <v>35</v>
      </c>
      <c r="L12" s="12" t="s">
        <v>41</v>
      </c>
    </row>
    <row r="13" spans="1:12">
      <c r="A13" t="s">
        <v>42</v>
      </c>
      <c r="B13" s="9">
        <f>'Risk Inputs'!B4*(1+'Scenario Manager'!D4)^5</f>
        <v>129021.31173813954</v>
      </c>
      <c r="C13" s="9">
        <f>(((('Risk Inputs'!$B$4*(1+'Scenario Manager'!D4)^5)*'Scenario Manager'!D5)-(('Risk Inputs'!$B$4*(1+'Scenario Manager'!D4)^5)*'Risk Inputs'!$B$22))*(1-'Risk Inputs'!$B$21))+(('Risk Inputs'!$B$4*(1+'Scenario Manager'!D4)^5)*'Risk Inputs'!$B$22)-(('Risk Inputs'!$B$4*(1+'Scenario Manager'!D4)^5)*'Scenario Manager'!D7)-((('Risk Inputs'!$B$4*(1+'Scenario Manager'!D4)^5)*'Risk Inputs'!$B$24)-(('Risk Inputs'!$B$4*(1+'Scenario Manager'!D4)^4)*'Risk Inputs'!$B$24))</f>
        <v>10961.484929826063</v>
      </c>
      <c r="D13" s="10">
        <f>(((((((('Risk Inputs'!$B$4*(1+'Scenario Manager'!D4))*'Scenario Manager'!D5)-(('Risk Inputs'!$B$4*(1+'Scenario Manager'!D4))*'Risk Inputs'!$B$22))*(1-'Risk Inputs'!$B$21))+(('Risk Inputs'!$B$4*(1+'Scenario Manager'!D4))*'Risk Inputs'!$B$22)-(('Risk Inputs'!$B$4*(1+'Scenario Manager'!D4))*'Scenario Manager'!D7)-((('Risk Inputs'!$B$4*(1+'Scenario Manager'!D4))*'Risk Inputs'!$B$24)-('Risk Inputs'!$B$4*'Risk Inputs'!$B$24)))/(1+'Scenario Manager'!D6)^1)+((((((('Risk Inputs'!$B$4*(1+'Scenario Manager'!D4))*(1+'Scenario Manager'!D4))*'Scenario Manager'!D5)-((('Risk Inputs'!$B$4*(1+'Scenario Manager'!D4))*(1+'Scenario Manager'!D4))*'Risk Inputs'!$B$22))*(1-'Risk Inputs'!$B$21))+((('Risk Inputs'!$B$4*(1+'Scenario Manager'!D4))*(1+'Scenario Manager'!D4))*'Risk Inputs'!$B$22)-((('Risk Inputs'!$B$4*(1+'Scenario Manager'!D4))*(1+'Scenario Manager'!D4))*'Scenario Manager'!D7)-(((('Risk Inputs'!$B$4*(1+'Scenario Manager'!D4))*(1+'Scenario Manager'!D4))*'Risk Inputs'!$B$24)-(('Risk Inputs'!$B$4*(1+'Scenario Manager'!D4))*'Risk Inputs'!$B$24)))/(1+'Scenario Manager'!D6)^2)+(((((((('Risk Inputs'!$B$4*(1+'Scenario Manager'!D4))*(1+'Scenario Manager'!D4))*(1+'Scenario Manager'!D4))*'Scenario Manager'!D5)-(((('Risk Inputs'!$B$4*(1+'Scenario Manager'!D4))*(1+'Scenario Manager'!D4))*(1+'Scenario Manager'!D4))*'Risk Inputs'!$B$22))*(1-'Risk Inputs'!$B$21))+(((('Risk Inputs'!$B$4*(1+'Scenario Manager'!D4))*(1+'Scenario Manager'!D4))*(1+'Scenario Manager'!D4))*'Risk Inputs'!$B$22)-(((('Risk Inputs'!$B$4*(1+'Scenario Manager'!D4))*(1+'Scenario Manager'!D4))*(1+'Scenario Manager'!D4))*'Scenario Manager'!D7)-((((('Risk Inputs'!$B$4*(1+'Scenario Manager'!D4))*(1+'Scenario Manager'!D4))*(1+'Scenario Manager'!D4))*'Risk Inputs'!$B$24)-((('Risk Inputs'!$B$4*(1+'Scenario Manager'!D4))*(1+'Scenario Manager'!D4))*'Risk Inputs'!$B$24)))/(1+'Scenario Manager'!D6)^3)+((((((((('Risk Inputs'!$B$4*(1+'Scenario Manager'!D4))*(1+'Scenario Manager'!D4))*(1+'Scenario Manager'!D4))*(1+'Scenario Manager'!D4))*'Scenario Manager'!D5)-((((('Risk Inputs'!$B$4*(1+'Scenario Manager'!D4))*(1+'Scenario Manager'!D4))*(1+'Scenario Manager'!D4))*(1+'Scenario Manager'!D4))*'Risk Inputs'!$B$22))*(1-'Risk Inputs'!$B$21))+((((('Risk Inputs'!$B$4*(1+'Scenario Manager'!D4))*(1+'Scenario Manager'!D4))*(1+'Scenario Manager'!D4))*(1+'Scenario Manager'!D4))*'Risk Inputs'!$B$22)-((((('Risk Inputs'!$B$4*(1+'Scenario Manager'!D4))*(1+'Scenario Manager'!D4))*(1+'Scenario Manager'!D4))*(1+'Scenario Manager'!D4))*'Scenario Manager'!D7)-(((((('Risk Inputs'!$B$4*(1+'Scenario Manager'!D4))*(1+'Scenario Manager'!D4))*(1+'Scenario Manager'!D4))*(1+'Scenario Manager'!D4))*'Risk Inputs'!$B$24)-(((('Risk Inputs'!$B$4*(1+'Scenario Manager'!D4))*(1+'Scenario Manager'!D4))*(1+'Scenario Manager'!D4))*'Risk Inputs'!$B$24)))/(1+'Scenario Manager'!D6)^4)+(((((((((('Risk Inputs'!$B$4*(1+'Scenario Manager'!D4))*(1+'Scenario Manager'!D4))*(1+'Scenario Manager'!D4))*(1+'Scenario Manager'!D4))*(1+'Scenario Manager'!D4))*'Scenario Manager'!D5)-(((((('Risk Inputs'!$B$4*(1+'Scenario Manager'!D4))*(1+'Scenario Manager'!D4))*(1+'Scenario Manager'!D4))*(1+'Scenario Manager'!D4))*(1+'Scenario Manager'!D4))*'Risk Inputs'!$B$22))*(1-'Risk Inputs'!$B$21))+(((((('Risk Inputs'!$B$4*(1+'Scenario Manager'!D4))*(1+'Scenario Manager'!D4))*(1+'Scenario Manager'!D4))*(1+'Scenario Manager'!D4))*(1+'Scenario Manager'!D4))*'Risk Inputs'!$B$22)-(((((('Risk Inputs'!$B$4*(1+'Scenario Manager'!D4))*(1+'Scenario Manager'!D4))*(1+'Scenario Manager'!D4))*(1+'Scenario Manager'!D4))*(1+'Scenario Manager'!D4))*'Scenario Manager'!D7)-((((((('Risk Inputs'!$B$4*(1+'Scenario Manager'!D4))*(1+'Scenario Manager'!D4))*(1+'Scenario Manager'!D4))*(1+'Scenario Manager'!D4))*(1+'Scenario Manager'!D4))*'Risk Inputs'!$B$24)-((((('Risk Inputs'!$B$4*(1+'Scenario Manager'!D4))*(1+'Scenario Manager'!D4))*(1+'Scenario Manager'!D4))*(1+'Scenario Manager'!D4))*'Risk Inputs'!$B$24)))/(1+'Scenario Manager'!D6)^5)+((((((((((('Risk Inputs'!$B$4*(1+'Scenario Manager'!D4))*(1+'Scenario Manager'!D4))*(1+'Scenario Manager'!D4))*(1+'Scenario Manager'!D4))*(1+'Scenario Manager'!D4))*'Scenario Manager'!D5)-(((((('Risk Inputs'!$B$4*(1+'Scenario Manager'!D4))*(1+'Scenario Manager'!D4))*(1+'Scenario Manager'!D4))*(1+'Scenario Manager'!D4))*(1+'Scenario Manager'!D4))*'Risk Inputs'!$B$22))*(1-'Risk Inputs'!$B$21))+(((((('Risk Inputs'!$B$4*(1+'Scenario Manager'!D4))*(1+'Scenario Manager'!D4))*(1+'Scenario Manager'!D4))*(1+'Scenario Manager'!D4))*(1+'Scenario Manager'!D4))*'Risk Inputs'!$B$22)-(((((('Risk Inputs'!$B$4*(1+'Scenario Manager'!D4))*(1+'Scenario Manager'!D4))*(1+'Scenario Manager'!D4))*(1+'Scenario Manager'!D4))*(1+'Scenario Manager'!D4))*'Scenario Manager'!D7)-((((((('Risk Inputs'!$B$4*(1+'Scenario Manager'!D4))*(1+'Scenario Manager'!D4))*(1+'Scenario Manager'!D4))*(1+'Scenario Manager'!D4))*(1+'Scenario Manager'!D4))*'Risk Inputs'!$B$24)-((((('Risk Inputs'!$B$4*(1+'Scenario Manager'!D4))*(1+'Scenario Manager'!D4))*(1+'Scenario Manager'!D4))*(1+'Scenario Manager'!D4))*'Risk Inputs'!$B$24)))*(1+'Risk Inputs'!$B$25)/('Scenario Manager'!D6-'Risk Inputs'!$B$25))/(1+'Scenario Manager'!D6)^5))+'Risk Inputs'!$B$13)/'Risk Inputs'!$B$14</f>
        <v>505.12689642750303</v>
      </c>
      <c r="E13" s="8">
        <f>D13/'Risk Inputs'!B27-1</f>
        <v>-0.4220516059181888</v>
      </c>
      <c r="F13" t="s">
        <v>43</v>
      </c>
      <c r="H13" s="12" t="s">
        <v>44</v>
      </c>
      <c r="I13" s="12" t="s">
        <v>45</v>
      </c>
      <c r="J13" s="12" t="s">
        <v>46</v>
      </c>
      <c r="K13" s="12" t="s">
        <v>35</v>
      </c>
      <c r="L13" s="12" t="s">
        <v>47</v>
      </c>
    </row>
    <row r="14" spans="1:12">
      <c r="H14" s="12" t="s">
        <v>48</v>
      </c>
      <c r="I14" s="12" t="s">
        <v>49</v>
      </c>
      <c r="J14" s="12" t="s">
        <v>50</v>
      </c>
      <c r="K14" s="12" t="s">
        <v>51</v>
      </c>
      <c r="L14" s="12" t="s">
        <v>52</v>
      </c>
    </row>
    <row r="15" spans="1:12">
      <c r="H15" s="12" t="s">
        <v>9</v>
      </c>
      <c r="I15" s="12" t="s">
        <v>53</v>
      </c>
      <c r="J15" s="12" t="s">
        <v>54</v>
      </c>
      <c r="K15" s="12" t="s">
        <v>51</v>
      </c>
      <c r="L15" s="12" t="s">
        <v>55</v>
      </c>
    </row>
    <row r="18" spans="1:12">
      <c r="A18" s="28" t="s">
        <v>56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>
      <c r="A19" s="29" t="s">
        <v>57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</sheetData>
  <mergeCells count="7">
    <mergeCell ref="A18:L18"/>
    <mergeCell ref="A19:L23"/>
    <mergeCell ref="A1:L1"/>
    <mergeCell ref="A2:L2"/>
    <mergeCell ref="A4:L4"/>
    <mergeCell ref="A9:F9"/>
    <mergeCell ref="H9:L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sqref="A1:H1"/>
    </sheetView>
  </sheetViews>
  <sheetFormatPr defaultRowHeight="13.8"/>
  <cols>
    <col min="1" max="1" width="25" customWidth="1"/>
    <col min="2" max="3" width="16" customWidth="1"/>
    <col min="4" max="4" width="20" customWidth="1"/>
    <col min="5" max="5" width="14" customWidth="1"/>
    <col min="6" max="7" width="18" customWidth="1"/>
    <col min="8" max="8" width="22" customWidth="1"/>
    <col min="9" max="10" width="18" customWidth="1"/>
    <col min="11" max="11" width="15" customWidth="1"/>
    <col min="12" max="12" width="20" customWidth="1"/>
    <col min="13" max="13" width="14" customWidth="1"/>
  </cols>
  <sheetData>
    <row r="1" spans="1:8">
      <c r="A1" s="28" t="s">
        <v>58</v>
      </c>
      <c r="B1" s="28"/>
      <c r="C1" s="28"/>
      <c r="D1" s="28"/>
      <c r="E1" s="28"/>
      <c r="F1" s="28"/>
      <c r="G1" s="28"/>
      <c r="H1" s="28"/>
    </row>
    <row r="3" spans="1:8">
      <c r="A3" s="13" t="s">
        <v>59</v>
      </c>
      <c r="B3" s="13" t="s">
        <v>60</v>
      </c>
      <c r="C3" s="13" t="s">
        <v>61</v>
      </c>
      <c r="D3" s="13" t="s">
        <v>62</v>
      </c>
    </row>
    <row r="4" spans="1:8">
      <c r="A4" t="s">
        <v>63</v>
      </c>
      <c r="B4" s="1">
        <v>83855</v>
      </c>
      <c r="C4" t="s">
        <v>64</v>
      </c>
      <c r="D4" t="s">
        <v>65</v>
      </c>
    </row>
    <row r="5" spans="1:8">
      <c r="A5" t="s">
        <v>66</v>
      </c>
      <c r="B5" s="1">
        <v>10314</v>
      </c>
      <c r="C5" t="s">
        <v>64</v>
      </c>
      <c r="D5" t="s">
        <v>65</v>
      </c>
    </row>
    <row r="6" spans="1:8">
      <c r="A6" t="s">
        <v>67</v>
      </c>
      <c r="B6" s="2">
        <f>B5/B4</f>
        <v>0.12299803231769126</v>
      </c>
      <c r="C6" t="s">
        <v>68</v>
      </c>
      <c r="D6" t="s">
        <v>69</v>
      </c>
    </row>
    <row r="7" spans="1:8">
      <c r="A7" t="s">
        <v>70</v>
      </c>
      <c r="B7" s="1">
        <v>8538</v>
      </c>
      <c r="C7" t="s">
        <v>64</v>
      </c>
      <c r="D7" t="s">
        <v>65</v>
      </c>
    </row>
    <row r="8" spans="1:8">
      <c r="A8" t="s">
        <v>71</v>
      </c>
      <c r="B8" s="1">
        <v>1945</v>
      </c>
      <c r="C8" t="s">
        <v>64</v>
      </c>
      <c r="D8" t="s">
        <v>65</v>
      </c>
    </row>
    <row r="9" spans="1:8">
      <c r="A9" t="s">
        <v>72</v>
      </c>
      <c r="B9" s="1">
        <v>14981</v>
      </c>
      <c r="C9" t="s">
        <v>64</v>
      </c>
      <c r="D9" t="s">
        <v>65</v>
      </c>
    </row>
    <row r="10" spans="1:8">
      <c r="A10" t="s">
        <v>73</v>
      </c>
      <c r="B10" s="1">
        <v>12438</v>
      </c>
      <c r="C10" t="s">
        <v>64</v>
      </c>
      <c r="D10" t="s">
        <v>65</v>
      </c>
    </row>
    <row r="11" spans="1:8">
      <c r="A11" t="s">
        <v>74</v>
      </c>
      <c r="B11" s="1">
        <v>4817</v>
      </c>
      <c r="C11" t="s">
        <v>64</v>
      </c>
      <c r="D11" t="s">
        <v>65</v>
      </c>
    </row>
    <row r="12" spans="1:8">
      <c r="A12" t="s">
        <v>75</v>
      </c>
      <c r="B12" s="1">
        <v>6899</v>
      </c>
      <c r="C12" t="s">
        <v>64</v>
      </c>
      <c r="D12" t="s">
        <v>65</v>
      </c>
    </row>
    <row r="13" spans="1:8">
      <c r="A13" t="s">
        <v>76</v>
      </c>
      <c r="B13" s="27">
        <f>B12-B11</f>
        <v>2082</v>
      </c>
      <c r="C13" t="s">
        <v>64</v>
      </c>
      <c r="D13" t="s">
        <v>77</v>
      </c>
    </row>
    <row r="14" spans="1:8">
      <c r="A14" t="s">
        <v>78</v>
      </c>
      <c r="B14" s="1">
        <v>368</v>
      </c>
      <c r="C14" t="s">
        <v>79</v>
      </c>
      <c r="D14" t="s">
        <v>80</v>
      </c>
    </row>
    <row r="17" spans="1:4">
      <c r="A17" s="28" t="s">
        <v>81</v>
      </c>
      <c r="B17" s="28"/>
      <c r="C17" s="28"/>
      <c r="D17" s="28"/>
    </row>
    <row r="18" spans="1:4">
      <c r="A18" s="13" t="s">
        <v>82</v>
      </c>
      <c r="B18" s="13" t="s">
        <v>83</v>
      </c>
      <c r="C18" s="13" t="s">
        <v>61</v>
      </c>
      <c r="D18" s="13" t="s">
        <v>84</v>
      </c>
    </row>
    <row r="19" spans="1:4">
      <c r="A19" t="s">
        <v>32</v>
      </c>
      <c r="B19" s="4">
        <v>7.0000000000000007E-2</v>
      </c>
      <c r="C19" t="s">
        <v>85</v>
      </c>
      <c r="D19" t="s">
        <v>86</v>
      </c>
    </row>
    <row r="20" spans="1:4">
      <c r="A20" t="s">
        <v>38</v>
      </c>
      <c r="B20" s="4">
        <v>0.125</v>
      </c>
      <c r="C20" t="s">
        <v>87</v>
      </c>
      <c r="D20" t="s">
        <v>88</v>
      </c>
    </row>
    <row r="21" spans="1:4">
      <c r="A21" t="s">
        <v>89</v>
      </c>
      <c r="B21" s="4">
        <v>0.25</v>
      </c>
      <c r="C21" t="s">
        <v>68</v>
      </c>
      <c r="D21" t="s">
        <v>90</v>
      </c>
    </row>
    <row r="22" spans="1:4">
      <c r="A22" t="s">
        <v>91</v>
      </c>
      <c r="B22" s="4">
        <v>2.3E-2</v>
      </c>
      <c r="C22" t="s">
        <v>68</v>
      </c>
      <c r="D22" t="s">
        <v>92</v>
      </c>
    </row>
    <row r="23" spans="1:4">
      <c r="A23" t="s">
        <v>9</v>
      </c>
      <c r="B23" s="4">
        <v>3.5000000000000003E-2</v>
      </c>
      <c r="C23" t="s">
        <v>68</v>
      </c>
      <c r="D23" t="s">
        <v>93</v>
      </c>
    </row>
    <row r="24" spans="1:4">
      <c r="A24" t="s">
        <v>94</v>
      </c>
      <c r="B24" s="4">
        <v>5.5E-2</v>
      </c>
      <c r="C24" t="s">
        <v>68</v>
      </c>
      <c r="D24" t="s">
        <v>95</v>
      </c>
    </row>
    <row r="25" spans="1:4">
      <c r="A25" t="s">
        <v>96</v>
      </c>
      <c r="B25" s="4">
        <v>0.04</v>
      </c>
      <c r="C25" t="s">
        <v>68</v>
      </c>
      <c r="D25" t="s">
        <v>97</v>
      </c>
    </row>
    <row r="26" spans="1:4">
      <c r="A26" t="s">
        <v>44</v>
      </c>
      <c r="B26" s="5">
        <v>0.11</v>
      </c>
      <c r="C26" t="s">
        <v>68</v>
      </c>
      <c r="D26" t="s">
        <v>98</v>
      </c>
    </row>
    <row r="27" spans="1:4">
      <c r="A27" t="s">
        <v>99</v>
      </c>
      <c r="B27" s="6">
        <v>874</v>
      </c>
      <c r="C27" t="s">
        <v>64</v>
      </c>
      <c r="D27" t="s">
        <v>100</v>
      </c>
    </row>
    <row r="28" spans="1:4">
      <c r="A28" t="s">
        <v>101</v>
      </c>
      <c r="B28" s="3">
        <v>459.1</v>
      </c>
      <c r="C28" t="s">
        <v>102</v>
      </c>
      <c r="D28" t="s">
        <v>103</v>
      </c>
    </row>
  </sheetData>
  <mergeCells count="2">
    <mergeCell ref="A1:H1"/>
    <mergeCell ref="A17:D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sqref="A1:H1"/>
    </sheetView>
  </sheetViews>
  <sheetFormatPr defaultRowHeight="13.8"/>
  <cols>
    <col min="1" max="1" width="25" customWidth="1"/>
    <col min="2" max="3" width="16" customWidth="1"/>
    <col min="4" max="4" width="20" customWidth="1"/>
    <col min="5" max="5" width="14" customWidth="1"/>
    <col min="6" max="7" width="18" customWidth="1"/>
    <col min="8" max="8" width="22" customWidth="1"/>
    <col min="9" max="10" width="18" customWidth="1"/>
    <col min="11" max="11" width="15" customWidth="1"/>
    <col min="12" max="12" width="20" customWidth="1"/>
    <col min="13" max="13" width="14" customWidth="1"/>
  </cols>
  <sheetData>
    <row r="1" spans="1:8">
      <c r="A1" s="28" t="s">
        <v>104</v>
      </c>
      <c r="B1" s="28"/>
      <c r="C1" s="28"/>
      <c r="D1" s="28"/>
      <c r="E1" s="28"/>
      <c r="F1" s="28"/>
      <c r="G1" s="28"/>
      <c r="H1" s="28"/>
    </row>
    <row r="3" spans="1:8">
      <c r="A3" s="13" t="s">
        <v>25</v>
      </c>
      <c r="B3" s="13" t="s">
        <v>30</v>
      </c>
      <c r="C3" s="13" t="s">
        <v>26</v>
      </c>
      <c r="D3" s="13" t="s">
        <v>42</v>
      </c>
      <c r="E3" s="13" t="s">
        <v>61</v>
      </c>
    </row>
    <row r="4" spans="1:8">
      <c r="A4" t="s">
        <v>32</v>
      </c>
      <c r="B4" s="4">
        <v>0.04</v>
      </c>
      <c r="C4" s="4">
        <v>7.0000000000000007E-2</v>
      </c>
      <c r="D4" s="4">
        <v>0.09</v>
      </c>
      <c r="E4" t="s">
        <v>68</v>
      </c>
    </row>
    <row r="5" spans="1:8">
      <c r="A5" t="s">
        <v>38</v>
      </c>
      <c r="B5" s="4">
        <v>0.105</v>
      </c>
      <c r="C5" s="4">
        <v>0.125</v>
      </c>
      <c r="D5" s="4">
        <v>0.14499999999999999</v>
      </c>
      <c r="E5" t="s">
        <v>68</v>
      </c>
    </row>
    <row r="6" spans="1:8">
      <c r="A6" t="s">
        <v>44</v>
      </c>
      <c r="B6" s="4">
        <v>0.13</v>
      </c>
      <c r="C6" s="4">
        <v>0.11</v>
      </c>
      <c r="D6" s="4">
        <v>0.09</v>
      </c>
      <c r="E6" t="s">
        <v>68</v>
      </c>
    </row>
    <row r="7" spans="1:8">
      <c r="A7" t="s">
        <v>9</v>
      </c>
      <c r="B7" s="4">
        <v>4.4999999999999998E-2</v>
      </c>
      <c r="C7" s="4">
        <v>3.5000000000000003E-2</v>
      </c>
      <c r="D7" s="4">
        <v>2.5000000000000001E-2</v>
      </c>
      <c r="E7" t="s">
        <v>68</v>
      </c>
    </row>
    <row r="8" spans="1:8">
      <c r="A8" t="s">
        <v>105</v>
      </c>
      <c r="B8" s="4">
        <v>0.02</v>
      </c>
      <c r="C8" s="4">
        <v>0</v>
      </c>
      <c r="D8" s="4">
        <v>-0.01</v>
      </c>
      <c r="E8" t="s">
        <v>68</v>
      </c>
    </row>
    <row r="11" spans="1:8">
      <c r="A11" t="s">
        <v>5</v>
      </c>
      <c r="B11" s="7" t="s">
        <v>26</v>
      </c>
    </row>
    <row r="14" spans="1:8">
      <c r="A14" s="13" t="s">
        <v>106</v>
      </c>
      <c r="B14" s="13" t="s">
        <v>107</v>
      </c>
      <c r="C14" s="13" t="s">
        <v>61</v>
      </c>
      <c r="D14" s="13" t="s">
        <v>24</v>
      </c>
    </row>
    <row r="15" spans="1:8">
      <c r="A15" t="s">
        <v>32</v>
      </c>
      <c r="B15" s="8">
        <f>IF($B$11="Downside",$B$4,IF($B$11="Base",$C$4,$D$4))</f>
        <v>7.0000000000000007E-2</v>
      </c>
      <c r="C15" t="s">
        <v>68</v>
      </c>
      <c r="D15" t="s">
        <v>108</v>
      </c>
    </row>
    <row r="16" spans="1:8">
      <c r="A16" t="s">
        <v>38</v>
      </c>
      <c r="B16" s="8">
        <f>IF($B$11="Downside",$B$5,IF($B$11="Base",$C$5,$D$5))</f>
        <v>0.125</v>
      </c>
      <c r="C16" t="s">
        <v>68</v>
      </c>
      <c r="D16" t="s">
        <v>109</v>
      </c>
    </row>
    <row r="17" spans="1:4">
      <c r="A17" t="s">
        <v>44</v>
      </c>
      <c r="B17" s="8">
        <f>IF($B$11="Downside",$B$6,IF($B$11="Base",$C$6,$D$6))</f>
        <v>0.11</v>
      </c>
      <c r="C17" t="s">
        <v>68</v>
      </c>
      <c r="D17" t="s">
        <v>110</v>
      </c>
    </row>
    <row r="18" spans="1:4">
      <c r="A18" t="s">
        <v>9</v>
      </c>
      <c r="B18" s="8">
        <f>IF($B$11="Downside",$B$7,IF($B$11="Base",$C$7,$D$7))</f>
        <v>3.5000000000000003E-2</v>
      </c>
      <c r="C18" t="s">
        <v>68</v>
      </c>
      <c r="D18" t="s">
        <v>111</v>
      </c>
    </row>
    <row r="19" spans="1:4">
      <c r="A19" t="s">
        <v>105</v>
      </c>
      <c r="B19" s="8">
        <f>IF($B$11="Downside",$B$8,IF($B$11="Base",$C$8,$D$8))</f>
        <v>0</v>
      </c>
      <c r="C19" t="s">
        <v>68</v>
      </c>
      <c r="D19" t="s">
        <v>112</v>
      </c>
    </row>
  </sheetData>
  <mergeCells count="1">
    <mergeCell ref="A1:H1"/>
  </mergeCells>
  <dataValidations count="1">
    <dataValidation type="list" sqref="B11" xr:uid="{00000000-0002-0000-0200-000000000000}">
      <formula1>"Downside,Base,Upside"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workbookViewId="0">
      <selection sqref="A1:O1"/>
    </sheetView>
  </sheetViews>
  <sheetFormatPr defaultRowHeight="13.8"/>
  <cols>
    <col min="1" max="1" width="25" customWidth="1"/>
    <col min="2" max="3" width="16" customWidth="1"/>
    <col min="4" max="4" width="20" customWidth="1"/>
    <col min="5" max="5" width="14" customWidth="1"/>
    <col min="6" max="7" width="18" customWidth="1"/>
    <col min="8" max="8" width="22" customWidth="1"/>
    <col min="9" max="10" width="18" customWidth="1"/>
    <col min="11" max="11" width="15" customWidth="1"/>
    <col min="12" max="12" width="20" customWidth="1"/>
    <col min="13" max="13" width="14" customWidth="1"/>
  </cols>
  <sheetData>
    <row r="1" spans="1:15">
      <c r="A1" s="28" t="s">
        <v>113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>
      <c r="A2" s="31" t="s">
        <v>114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4" spans="1:15">
      <c r="A4" s="28" t="s">
        <v>115</v>
      </c>
      <c r="B4" s="28"/>
      <c r="C4" s="28"/>
      <c r="D4" s="28"/>
      <c r="E4" s="28"/>
      <c r="F4" s="28"/>
      <c r="H4" s="28" t="s">
        <v>116</v>
      </c>
      <c r="I4" s="28"/>
      <c r="J4" s="28"/>
      <c r="K4" s="28"/>
      <c r="L4" s="28"/>
      <c r="M4" s="28"/>
    </row>
    <row r="5" spans="1:15">
      <c r="A5" s="14" t="s">
        <v>117</v>
      </c>
      <c r="B5" s="14">
        <v>0.04</v>
      </c>
      <c r="C5" s="14">
        <v>5.5E-2</v>
      </c>
      <c r="D5" s="14">
        <v>7.0000000000000007E-2</v>
      </c>
      <c r="E5" s="14">
        <v>8.5000000000000006E-2</v>
      </c>
      <c r="F5" s="14">
        <v>0.1</v>
      </c>
      <c r="H5" s="14" t="s">
        <v>118</v>
      </c>
      <c r="I5" s="14">
        <v>0.105</v>
      </c>
      <c r="J5" s="14">
        <v>0.115</v>
      </c>
      <c r="K5" s="14">
        <v>0.125</v>
      </c>
      <c r="L5" s="14">
        <v>0.13500000000000001</v>
      </c>
      <c r="M5" s="14">
        <v>0.14499999999999999</v>
      </c>
    </row>
    <row r="6" spans="1:15">
      <c r="A6" s="8">
        <v>0.09</v>
      </c>
      <c r="B6" s="10">
        <f>(((((((('Risk Inputs'!$B$4*(1+B$5))*'Risk Inputs'!$B$20)-(('Risk Inputs'!$B$4*(1+B$5))*'Risk Inputs'!$B$22))*(1-'Risk Inputs'!$B$21))+(('Risk Inputs'!$B$4*(1+B$5))*'Risk Inputs'!$B$22)-(('Risk Inputs'!$B$4*(1+B$5))*'Risk Inputs'!$B$23)-((('Risk Inputs'!$B$4*(1+B$5))*'Risk Inputs'!$B$24)-('Risk Inputs'!$B$4*'Risk Inputs'!$B$24)))/(1+$A6)^1)+((((((('Risk Inputs'!$B$4*(1+B$5))*(1+B$5))*'Risk Inputs'!$B$20)-((('Risk Inputs'!$B$4*(1+B$5))*(1+B$5))*'Risk Inputs'!$B$22))*(1-'Risk Inputs'!$B$21))+((('Risk Inputs'!$B$4*(1+B$5))*(1+B$5))*'Risk Inputs'!$B$22)-((('Risk Inputs'!$B$4*(1+B$5))*(1+B$5))*'Risk Inputs'!$B$23)-(((('Risk Inputs'!$B$4*(1+B$5))*(1+B$5))*'Risk Inputs'!$B$24)-(('Risk Inputs'!$B$4*(1+B$5))*'Risk Inputs'!$B$24)))/(1+$A6)^2)+(((((((('Risk Inputs'!$B$4*(1+B$5))*(1+B$5))*(1+B$5))*'Risk Inputs'!$B$20)-(((('Risk Inputs'!$B$4*(1+B$5))*(1+B$5))*(1+B$5))*'Risk Inputs'!$B$22))*(1-'Risk Inputs'!$B$21))+(((('Risk Inputs'!$B$4*(1+B$5))*(1+B$5))*(1+B$5))*'Risk Inputs'!$B$22)-(((('Risk Inputs'!$B$4*(1+B$5))*(1+B$5))*(1+B$5))*'Risk Inputs'!$B$23)-((((('Risk Inputs'!$B$4*(1+B$5))*(1+B$5))*(1+B$5))*'Risk Inputs'!$B$24)-((('Risk Inputs'!$B$4*(1+B$5))*(1+B$5))*'Risk Inputs'!$B$24)))/(1+$A6)^3)+((((((((('Risk Inputs'!$B$4*(1+B$5))*(1+B$5))*(1+B$5))*(1+B$5))*'Risk Inputs'!$B$20)-((((('Risk Inputs'!$B$4*(1+B$5))*(1+B$5))*(1+B$5))*(1+B$5))*'Risk Inputs'!$B$22))*(1-'Risk Inputs'!$B$21))+((((('Risk Inputs'!$B$4*(1+B$5))*(1+B$5))*(1+B$5))*(1+B$5))*'Risk Inputs'!$B$22)-((((('Risk Inputs'!$B$4*(1+B$5))*(1+B$5))*(1+B$5))*(1+B$5))*'Risk Inputs'!$B$23)-(((((('Risk Inputs'!$B$4*(1+B$5))*(1+B$5))*(1+B$5))*(1+B$5))*'Risk Inputs'!$B$24)-(((('Risk Inputs'!$B$4*(1+B$5))*(1+B$5))*(1+B$5))*'Risk Inputs'!$B$24)))/(1+$A6)^4)+(((((((((('Risk Inputs'!$B$4*(1+B$5))*(1+B$5))*(1+B$5))*(1+B$5))*(1+B$5))*'Risk Inputs'!$B$20)-(((((('Risk Inputs'!$B$4*(1+B$5))*(1+B$5))*(1+B$5))*(1+B$5))*(1+B$5))*'Risk Inputs'!$B$22))*(1-'Risk Inputs'!$B$21))+(((((('Risk Inputs'!$B$4*(1+B$5))*(1+B$5))*(1+B$5))*(1+B$5))*(1+B$5))*'Risk Inputs'!$B$22)-(((((('Risk Inputs'!$B$4*(1+B$5))*(1+B$5))*(1+B$5))*(1+B$5))*(1+B$5))*'Risk Inputs'!$B$23)-((((((('Risk Inputs'!$B$4*(1+B$5))*(1+B$5))*(1+B$5))*(1+B$5))*(1+B$5))*'Risk Inputs'!$B$24)-((((('Risk Inputs'!$B$4*(1+B$5))*(1+B$5))*(1+B$5))*(1+B$5))*'Risk Inputs'!$B$24)))/(1+$A6)^5)+((((((((((('Risk Inputs'!$B$4*(1+B$5))*(1+B$5))*(1+B$5))*(1+B$5))*(1+B$5))*'Risk Inputs'!$B$20)-(((((('Risk Inputs'!$B$4*(1+B$5))*(1+B$5))*(1+B$5))*(1+B$5))*(1+B$5))*'Risk Inputs'!$B$22))*(1-'Risk Inputs'!$B$21))+(((((('Risk Inputs'!$B$4*(1+B$5))*(1+B$5))*(1+B$5))*(1+B$5))*(1+B$5))*'Risk Inputs'!$B$22)-(((((('Risk Inputs'!$B$4*(1+B$5))*(1+B$5))*(1+B$5))*(1+B$5))*(1+B$5))*'Risk Inputs'!$B$23)-((((((('Risk Inputs'!$B$4*(1+B$5))*(1+B$5))*(1+B$5))*(1+B$5))*(1+B$5))*'Risk Inputs'!$B$24)-((((('Risk Inputs'!$B$4*(1+B$5))*(1+B$5))*(1+B$5))*(1+B$5))*'Risk Inputs'!$B$24)))*(1+'Risk Inputs'!$B$25)/($A6-'Risk Inputs'!$B$25))/(1+$A6)^5))+'Risk Inputs'!$B$13)/'Risk Inputs'!$B$14</f>
        <v>301.33763043478262</v>
      </c>
      <c r="C6" s="10">
        <f>(((((((('Risk Inputs'!$B$4*(1+C$5))*'Risk Inputs'!$B$20)-(('Risk Inputs'!$B$4*(1+C$5))*'Risk Inputs'!$B$22))*(1-'Risk Inputs'!$B$21))+(('Risk Inputs'!$B$4*(1+C$5))*'Risk Inputs'!$B$22)-(('Risk Inputs'!$B$4*(1+C$5))*'Risk Inputs'!$B$23)-((('Risk Inputs'!$B$4*(1+C$5))*'Risk Inputs'!$B$24)-('Risk Inputs'!$B$4*'Risk Inputs'!$B$24)))/(1+$A6)^1)+((((((('Risk Inputs'!$B$4*(1+C$5))*(1+C$5))*'Risk Inputs'!$B$20)-((('Risk Inputs'!$B$4*(1+C$5))*(1+C$5))*'Risk Inputs'!$B$22))*(1-'Risk Inputs'!$B$21))+((('Risk Inputs'!$B$4*(1+C$5))*(1+C$5))*'Risk Inputs'!$B$22)-((('Risk Inputs'!$B$4*(1+C$5))*(1+C$5))*'Risk Inputs'!$B$23)-(((('Risk Inputs'!$B$4*(1+C$5))*(1+C$5))*'Risk Inputs'!$B$24)-(('Risk Inputs'!$B$4*(1+C$5))*'Risk Inputs'!$B$24)))/(1+$A6)^2)+(((((((('Risk Inputs'!$B$4*(1+C$5))*(1+C$5))*(1+C$5))*'Risk Inputs'!$B$20)-(((('Risk Inputs'!$B$4*(1+C$5))*(1+C$5))*(1+C$5))*'Risk Inputs'!$B$22))*(1-'Risk Inputs'!$B$21))+(((('Risk Inputs'!$B$4*(1+C$5))*(1+C$5))*(1+C$5))*'Risk Inputs'!$B$22)-(((('Risk Inputs'!$B$4*(1+C$5))*(1+C$5))*(1+C$5))*'Risk Inputs'!$B$23)-((((('Risk Inputs'!$B$4*(1+C$5))*(1+C$5))*(1+C$5))*'Risk Inputs'!$B$24)-((('Risk Inputs'!$B$4*(1+C$5))*(1+C$5))*'Risk Inputs'!$B$24)))/(1+$A6)^3)+((((((((('Risk Inputs'!$B$4*(1+C$5))*(1+C$5))*(1+C$5))*(1+C$5))*'Risk Inputs'!$B$20)-((((('Risk Inputs'!$B$4*(1+C$5))*(1+C$5))*(1+C$5))*(1+C$5))*'Risk Inputs'!$B$22))*(1-'Risk Inputs'!$B$21))+((((('Risk Inputs'!$B$4*(1+C$5))*(1+C$5))*(1+C$5))*(1+C$5))*'Risk Inputs'!$B$22)-((((('Risk Inputs'!$B$4*(1+C$5))*(1+C$5))*(1+C$5))*(1+C$5))*'Risk Inputs'!$B$23)-(((((('Risk Inputs'!$B$4*(1+C$5))*(1+C$5))*(1+C$5))*(1+C$5))*'Risk Inputs'!$B$24)-(((('Risk Inputs'!$B$4*(1+C$5))*(1+C$5))*(1+C$5))*'Risk Inputs'!$B$24)))/(1+$A6)^4)+(((((((((('Risk Inputs'!$B$4*(1+C$5))*(1+C$5))*(1+C$5))*(1+C$5))*(1+C$5))*'Risk Inputs'!$B$20)-(((((('Risk Inputs'!$B$4*(1+C$5))*(1+C$5))*(1+C$5))*(1+C$5))*(1+C$5))*'Risk Inputs'!$B$22))*(1-'Risk Inputs'!$B$21))+(((((('Risk Inputs'!$B$4*(1+C$5))*(1+C$5))*(1+C$5))*(1+C$5))*(1+C$5))*'Risk Inputs'!$B$22)-(((((('Risk Inputs'!$B$4*(1+C$5))*(1+C$5))*(1+C$5))*(1+C$5))*(1+C$5))*'Risk Inputs'!$B$23)-((((((('Risk Inputs'!$B$4*(1+C$5))*(1+C$5))*(1+C$5))*(1+C$5))*(1+C$5))*'Risk Inputs'!$B$24)-((((('Risk Inputs'!$B$4*(1+C$5))*(1+C$5))*(1+C$5))*(1+C$5))*'Risk Inputs'!$B$24)))/(1+$A6)^5)+((((((((((('Risk Inputs'!$B$4*(1+C$5))*(1+C$5))*(1+C$5))*(1+C$5))*(1+C$5))*'Risk Inputs'!$B$20)-(((((('Risk Inputs'!$B$4*(1+C$5))*(1+C$5))*(1+C$5))*(1+C$5))*(1+C$5))*'Risk Inputs'!$B$22))*(1-'Risk Inputs'!$B$21))+(((((('Risk Inputs'!$B$4*(1+C$5))*(1+C$5))*(1+C$5))*(1+C$5))*(1+C$5))*'Risk Inputs'!$B$22)-(((((('Risk Inputs'!$B$4*(1+C$5))*(1+C$5))*(1+C$5))*(1+C$5))*(1+C$5))*'Risk Inputs'!$B$23)-((((((('Risk Inputs'!$B$4*(1+C$5))*(1+C$5))*(1+C$5))*(1+C$5))*(1+C$5))*'Risk Inputs'!$B$24)-((((('Risk Inputs'!$B$4*(1+C$5))*(1+C$5))*(1+C$5))*(1+C$5))*'Risk Inputs'!$B$24)))*(1+'Risk Inputs'!$B$25)/($A6-'Risk Inputs'!$B$25))/(1+$A6)^5))+'Risk Inputs'!$B$13)/'Risk Inputs'!$B$14</f>
        <v>317.52979080747235</v>
      </c>
      <c r="D6" s="10">
        <f>(((((((('Risk Inputs'!$B$4*(1+D$5))*'Risk Inputs'!$B$20)-(('Risk Inputs'!$B$4*(1+D$5))*'Risk Inputs'!$B$22))*(1-'Risk Inputs'!$B$21))+(('Risk Inputs'!$B$4*(1+D$5))*'Risk Inputs'!$B$22)-(('Risk Inputs'!$B$4*(1+D$5))*'Risk Inputs'!$B$23)-((('Risk Inputs'!$B$4*(1+D$5))*'Risk Inputs'!$B$24)-('Risk Inputs'!$B$4*'Risk Inputs'!$B$24)))/(1+$A6)^1)+((((((('Risk Inputs'!$B$4*(1+D$5))*(1+D$5))*'Risk Inputs'!$B$20)-((('Risk Inputs'!$B$4*(1+D$5))*(1+D$5))*'Risk Inputs'!$B$22))*(1-'Risk Inputs'!$B$21))+((('Risk Inputs'!$B$4*(1+D$5))*(1+D$5))*'Risk Inputs'!$B$22)-((('Risk Inputs'!$B$4*(1+D$5))*(1+D$5))*'Risk Inputs'!$B$23)-(((('Risk Inputs'!$B$4*(1+D$5))*(1+D$5))*'Risk Inputs'!$B$24)-(('Risk Inputs'!$B$4*(1+D$5))*'Risk Inputs'!$B$24)))/(1+$A6)^2)+(((((((('Risk Inputs'!$B$4*(1+D$5))*(1+D$5))*(1+D$5))*'Risk Inputs'!$B$20)-(((('Risk Inputs'!$B$4*(1+D$5))*(1+D$5))*(1+D$5))*'Risk Inputs'!$B$22))*(1-'Risk Inputs'!$B$21))+(((('Risk Inputs'!$B$4*(1+D$5))*(1+D$5))*(1+D$5))*'Risk Inputs'!$B$22)-(((('Risk Inputs'!$B$4*(1+D$5))*(1+D$5))*(1+D$5))*'Risk Inputs'!$B$23)-((((('Risk Inputs'!$B$4*(1+D$5))*(1+D$5))*(1+D$5))*'Risk Inputs'!$B$24)-((('Risk Inputs'!$B$4*(1+D$5))*(1+D$5))*'Risk Inputs'!$B$24)))/(1+$A6)^3)+((((((((('Risk Inputs'!$B$4*(1+D$5))*(1+D$5))*(1+D$5))*(1+D$5))*'Risk Inputs'!$B$20)-((((('Risk Inputs'!$B$4*(1+D$5))*(1+D$5))*(1+D$5))*(1+D$5))*'Risk Inputs'!$B$22))*(1-'Risk Inputs'!$B$21))+((((('Risk Inputs'!$B$4*(1+D$5))*(1+D$5))*(1+D$5))*(1+D$5))*'Risk Inputs'!$B$22)-((((('Risk Inputs'!$B$4*(1+D$5))*(1+D$5))*(1+D$5))*(1+D$5))*'Risk Inputs'!$B$23)-(((((('Risk Inputs'!$B$4*(1+D$5))*(1+D$5))*(1+D$5))*(1+D$5))*'Risk Inputs'!$B$24)-(((('Risk Inputs'!$B$4*(1+D$5))*(1+D$5))*(1+D$5))*'Risk Inputs'!$B$24)))/(1+$A6)^4)+(((((((((('Risk Inputs'!$B$4*(1+D$5))*(1+D$5))*(1+D$5))*(1+D$5))*(1+D$5))*'Risk Inputs'!$B$20)-(((((('Risk Inputs'!$B$4*(1+D$5))*(1+D$5))*(1+D$5))*(1+D$5))*(1+D$5))*'Risk Inputs'!$B$22))*(1-'Risk Inputs'!$B$21))+(((((('Risk Inputs'!$B$4*(1+D$5))*(1+D$5))*(1+D$5))*(1+D$5))*(1+D$5))*'Risk Inputs'!$B$22)-(((((('Risk Inputs'!$B$4*(1+D$5))*(1+D$5))*(1+D$5))*(1+D$5))*(1+D$5))*'Risk Inputs'!$B$23)-((((((('Risk Inputs'!$B$4*(1+D$5))*(1+D$5))*(1+D$5))*(1+D$5))*(1+D$5))*'Risk Inputs'!$B$24)-((((('Risk Inputs'!$B$4*(1+D$5))*(1+D$5))*(1+D$5))*(1+D$5))*'Risk Inputs'!$B$24)))/(1+$A6)^5)+((((((((((('Risk Inputs'!$B$4*(1+D$5))*(1+D$5))*(1+D$5))*(1+D$5))*(1+D$5))*'Risk Inputs'!$B$20)-(((((('Risk Inputs'!$B$4*(1+D$5))*(1+D$5))*(1+D$5))*(1+D$5))*(1+D$5))*'Risk Inputs'!$B$22))*(1-'Risk Inputs'!$B$21))+(((((('Risk Inputs'!$B$4*(1+D$5))*(1+D$5))*(1+D$5))*(1+D$5))*(1+D$5))*'Risk Inputs'!$B$22)-(((((('Risk Inputs'!$B$4*(1+D$5))*(1+D$5))*(1+D$5))*(1+D$5))*(1+D$5))*'Risk Inputs'!$B$23)-((((((('Risk Inputs'!$B$4*(1+D$5))*(1+D$5))*(1+D$5))*(1+D$5))*(1+D$5))*'Risk Inputs'!$B$24)-((((('Risk Inputs'!$B$4*(1+D$5))*(1+D$5))*(1+D$5))*(1+D$5))*'Risk Inputs'!$B$24)))*(1+'Risk Inputs'!$B$25)/($A6-'Risk Inputs'!$B$25))/(1+$A6)^5))+'Risk Inputs'!$B$13)/'Risk Inputs'!$B$14</f>
        <v>334.44248890881374</v>
      </c>
      <c r="E6" s="10">
        <f>(((((((('Risk Inputs'!$B$4*(1+E$5))*'Risk Inputs'!$B$20)-(('Risk Inputs'!$B$4*(1+E$5))*'Risk Inputs'!$B$22))*(1-'Risk Inputs'!$B$21))+(('Risk Inputs'!$B$4*(1+E$5))*'Risk Inputs'!$B$22)-(('Risk Inputs'!$B$4*(1+E$5))*'Risk Inputs'!$B$23)-((('Risk Inputs'!$B$4*(1+E$5))*'Risk Inputs'!$B$24)-('Risk Inputs'!$B$4*'Risk Inputs'!$B$24)))/(1+$A6)^1)+((((((('Risk Inputs'!$B$4*(1+E$5))*(1+E$5))*'Risk Inputs'!$B$20)-((('Risk Inputs'!$B$4*(1+E$5))*(1+E$5))*'Risk Inputs'!$B$22))*(1-'Risk Inputs'!$B$21))+((('Risk Inputs'!$B$4*(1+E$5))*(1+E$5))*'Risk Inputs'!$B$22)-((('Risk Inputs'!$B$4*(1+E$5))*(1+E$5))*'Risk Inputs'!$B$23)-(((('Risk Inputs'!$B$4*(1+E$5))*(1+E$5))*'Risk Inputs'!$B$24)-(('Risk Inputs'!$B$4*(1+E$5))*'Risk Inputs'!$B$24)))/(1+$A6)^2)+(((((((('Risk Inputs'!$B$4*(1+E$5))*(1+E$5))*(1+E$5))*'Risk Inputs'!$B$20)-(((('Risk Inputs'!$B$4*(1+E$5))*(1+E$5))*(1+E$5))*'Risk Inputs'!$B$22))*(1-'Risk Inputs'!$B$21))+(((('Risk Inputs'!$B$4*(1+E$5))*(1+E$5))*(1+E$5))*'Risk Inputs'!$B$22)-(((('Risk Inputs'!$B$4*(1+E$5))*(1+E$5))*(1+E$5))*'Risk Inputs'!$B$23)-((((('Risk Inputs'!$B$4*(1+E$5))*(1+E$5))*(1+E$5))*'Risk Inputs'!$B$24)-((('Risk Inputs'!$B$4*(1+E$5))*(1+E$5))*'Risk Inputs'!$B$24)))/(1+$A6)^3)+((((((((('Risk Inputs'!$B$4*(1+E$5))*(1+E$5))*(1+E$5))*(1+E$5))*'Risk Inputs'!$B$20)-((((('Risk Inputs'!$B$4*(1+E$5))*(1+E$5))*(1+E$5))*(1+E$5))*'Risk Inputs'!$B$22))*(1-'Risk Inputs'!$B$21))+((((('Risk Inputs'!$B$4*(1+E$5))*(1+E$5))*(1+E$5))*(1+E$5))*'Risk Inputs'!$B$22)-((((('Risk Inputs'!$B$4*(1+E$5))*(1+E$5))*(1+E$5))*(1+E$5))*'Risk Inputs'!$B$23)-(((((('Risk Inputs'!$B$4*(1+E$5))*(1+E$5))*(1+E$5))*(1+E$5))*'Risk Inputs'!$B$24)-(((('Risk Inputs'!$B$4*(1+E$5))*(1+E$5))*(1+E$5))*'Risk Inputs'!$B$24)))/(1+$A6)^4)+(((((((((('Risk Inputs'!$B$4*(1+E$5))*(1+E$5))*(1+E$5))*(1+E$5))*(1+E$5))*'Risk Inputs'!$B$20)-(((((('Risk Inputs'!$B$4*(1+E$5))*(1+E$5))*(1+E$5))*(1+E$5))*(1+E$5))*'Risk Inputs'!$B$22))*(1-'Risk Inputs'!$B$21))+(((((('Risk Inputs'!$B$4*(1+E$5))*(1+E$5))*(1+E$5))*(1+E$5))*(1+E$5))*'Risk Inputs'!$B$22)-(((((('Risk Inputs'!$B$4*(1+E$5))*(1+E$5))*(1+E$5))*(1+E$5))*(1+E$5))*'Risk Inputs'!$B$23)-((((((('Risk Inputs'!$B$4*(1+E$5))*(1+E$5))*(1+E$5))*(1+E$5))*(1+E$5))*'Risk Inputs'!$B$24)-((((('Risk Inputs'!$B$4*(1+E$5))*(1+E$5))*(1+E$5))*(1+E$5))*'Risk Inputs'!$B$24)))/(1+$A6)^5)+((((((((((('Risk Inputs'!$B$4*(1+E$5))*(1+E$5))*(1+E$5))*(1+E$5))*(1+E$5))*'Risk Inputs'!$B$20)-(((((('Risk Inputs'!$B$4*(1+E$5))*(1+E$5))*(1+E$5))*(1+E$5))*(1+E$5))*'Risk Inputs'!$B$22))*(1-'Risk Inputs'!$B$21))+(((((('Risk Inputs'!$B$4*(1+E$5))*(1+E$5))*(1+E$5))*(1+E$5))*(1+E$5))*'Risk Inputs'!$B$22)-(((((('Risk Inputs'!$B$4*(1+E$5))*(1+E$5))*(1+E$5))*(1+E$5))*(1+E$5))*'Risk Inputs'!$B$23)-((((((('Risk Inputs'!$B$4*(1+E$5))*(1+E$5))*(1+E$5))*(1+E$5))*(1+E$5))*'Risk Inputs'!$B$24)-((((('Risk Inputs'!$B$4*(1+E$5))*(1+E$5))*(1+E$5))*(1+E$5))*'Risk Inputs'!$B$24)))*(1+'Risk Inputs'!$B$25)/($A6-'Risk Inputs'!$B$25))/(1+$A6)^5))+'Risk Inputs'!$B$13)/'Risk Inputs'!$B$14</f>
        <v>352.09836427574851</v>
      </c>
      <c r="F6" s="10">
        <f>(((((((('Risk Inputs'!$B$4*(1+F$5))*'Risk Inputs'!$B$20)-(('Risk Inputs'!$B$4*(1+F$5))*'Risk Inputs'!$B$22))*(1-'Risk Inputs'!$B$21))+(('Risk Inputs'!$B$4*(1+F$5))*'Risk Inputs'!$B$22)-(('Risk Inputs'!$B$4*(1+F$5))*'Risk Inputs'!$B$23)-((('Risk Inputs'!$B$4*(1+F$5))*'Risk Inputs'!$B$24)-('Risk Inputs'!$B$4*'Risk Inputs'!$B$24)))/(1+$A6)^1)+((((((('Risk Inputs'!$B$4*(1+F$5))*(1+F$5))*'Risk Inputs'!$B$20)-((('Risk Inputs'!$B$4*(1+F$5))*(1+F$5))*'Risk Inputs'!$B$22))*(1-'Risk Inputs'!$B$21))+((('Risk Inputs'!$B$4*(1+F$5))*(1+F$5))*'Risk Inputs'!$B$22)-((('Risk Inputs'!$B$4*(1+F$5))*(1+F$5))*'Risk Inputs'!$B$23)-(((('Risk Inputs'!$B$4*(1+F$5))*(1+F$5))*'Risk Inputs'!$B$24)-(('Risk Inputs'!$B$4*(1+F$5))*'Risk Inputs'!$B$24)))/(1+$A6)^2)+(((((((('Risk Inputs'!$B$4*(1+F$5))*(1+F$5))*(1+F$5))*'Risk Inputs'!$B$20)-(((('Risk Inputs'!$B$4*(1+F$5))*(1+F$5))*(1+F$5))*'Risk Inputs'!$B$22))*(1-'Risk Inputs'!$B$21))+(((('Risk Inputs'!$B$4*(1+F$5))*(1+F$5))*(1+F$5))*'Risk Inputs'!$B$22)-(((('Risk Inputs'!$B$4*(1+F$5))*(1+F$5))*(1+F$5))*'Risk Inputs'!$B$23)-((((('Risk Inputs'!$B$4*(1+F$5))*(1+F$5))*(1+F$5))*'Risk Inputs'!$B$24)-((('Risk Inputs'!$B$4*(1+F$5))*(1+F$5))*'Risk Inputs'!$B$24)))/(1+$A6)^3)+((((((((('Risk Inputs'!$B$4*(1+F$5))*(1+F$5))*(1+F$5))*(1+F$5))*'Risk Inputs'!$B$20)-((((('Risk Inputs'!$B$4*(1+F$5))*(1+F$5))*(1+F$5))*(1+F$5))*'Risk Inputs'!$B$22))*(1-'Risk Inputs'!$B$21))+((((('Risk Inputs'!$B$4*(1+F$5))*(1+F$5))*(1+F$5))*(1+F$5))*'Risk Inputs'!$B$22)-((((('Risk Inputs'!$B$4*(1+F$5))*(1+F$5))*(1+F$5))*(1+F$5))*'Risk Inputs'!$B$23)-(((((('Risk Inputs'!$B$4*(1+F$5))*(1+F$5))*(1+F$5))*(1+F$5))*'Risk Inputs'!$B$24)-(((('Risk Inputs'!$B$4*(1+F$5))*(1+F$5))*(1+F$5))*'Risk Inputs'!$B$24)))/(1+$A6)^4)+(((((((((('Risk Inputs'!$B$4*(1+F$5))*(1+F$5))*(1+F$5))*(1+F$5))*(1+F$5))*'Risk Inputs'!$B$20)-(((((('Risk Inputs'!$B$4*(1+F$5))*(1+F$5))*(1+F$5))*(1+F$5))*(1+F$5))*'Risk Inputs'!$B$22))*(1-'Risk Inputs'!$B$21))+(((((('Risk Inputs'!$B$4*(1+F$5))*(1+F$5))*(1+F$5))*(1+F$5))*(1+F$5))*'Risk Inputs'!$B$22)-(((((('Risk Inputs'!$B$4*(1+F$5))*(1+F$5))*(1+F$5))*(1+F$5))*(1+F$5))*'Risk Inputs'!$B$23)-((((((('Risk Inputs'!$B$4*(1+F$5))*(1+F$5))*(1+F$5))*(1+F$5))*(1+F$5))*'Risk Inputs'!$B$24)-((((('Risk Inputs'!$B$4*(1+F$5))*(1+F$5))*(1+F$5))*(1+F$5))*'Risk Inputs'!$B$24)))/(1+$A6)^5)+((((((((((('Risk Inputs'!$B$4*(1+F$5))*(1+F$5))*(1+F$5))*(1+F$5))*(1+F$5))*'Risk Inputs'!$B$20)-(((((('Risk Inputs'!$B$4*(1+F$5))*(1+F$5))*(1+F$5))*(1+F$5))*(1+F$5))*'Risk Inputs'!$B$22))*(1-'Risk Inputs'!$B$21))+(((((('Risk Inputs'!$B$4*(1+F$5))*(1+F$5))*(1+F$5))*(1+F$5))*(1+F$5))*'Risk Inputs'!$B$22)-(((((('Risk Inputs'!$B$4*(1+F$5))*(1+F$5))*(1+F$5))*(1+F$5))*(1+F$5))*'Risk Inputs'!$B$23)-((((((('Risk Inputs'!$B$4*(1+F$5))*(1+F$5))*(1+F$5))*(1+F$5))*(1+F$5))*'Risk Inputs'!$B$24)-((((('Risk Inputs'!$B$4*(1+F$5))*(1+F$5))*(1+F$5))*(1+F$5))*'Risk Inputs'!$B$24)))*(1+'Risk Inputs'!$B$25)/($A6-'Risk Inputs'!$B$25))/(1+$A6)^5))+'Risk Inputs'!$B$13)/'Risk Inputs'!$B$14</f>
        <v>370.52047342470729</v>
      </c>
      <c r="H6" s="8">
        <v>0.09</v>
      </c>
      <c r="I6" s="10">
        <f>(((((((('Risk Inputs'!$B$4*(1+'Risk Inputs'!$B$19))*I$5)-(('Risk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Inputs'!$B$24)))/(1+$H6)^1)+((((((('Risk Inputs'!$B$4*(1+'Risk Inputs'!$B$19))*(1+'Risk Inputs'!$B$19))*I$5)-((('Risk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Inputs'!$B$24)))/(1+$H6)^2)+(((((((('Risk Inputs'!$B$4*(1+'Risk Inputs'!$B$19))*(1+'Risk Inputs'!$B$19))*(1+'Risk Inputs'!$B$19))*I$5)-(((('Risk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Inputs'!$B$24)))/(1+$H6)^3)+((((((((('Risk Inputs'!$B$4*(1+'Risk Inputs'!$B$19))*(1+'Risk Inputs'!$B$19))*(1+'Risk Inputs'!$B$19))*(1+'Risk Inputs'!$B$19))*I$5)-((((('Risk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Inputs'!$B$24)))/(1+$H6)^4)+(((((((((('Risk Inputs'!$B$4*(1+'Risk Inputs'!$B$19))*(1+'Risk Inputs'!$B$19))*(1+'Risk Inputs'!$B$19))*(1+'Risk Inputs'!$B$19))*(1+'Risk Inputs'!$B$19))*I$5)-(((((('Risk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Inputs'!$B$24)))/(1+$H6)^5)+((((((((((('Risk Inputs'!$B$4*(1+'Risk Inputs'!$B$19))*(1+'Risk Inputs'!$B$19))*(1+'Risk Inputs'!$B$19))*(1+'Risk Inputs'!$B$19))*(1+'Risk Inputs'!$B$19))*I$5)-(((((('Risk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Inputs'!$B$25)/($H6-'Risk Inputs'!$B$25))/(1+$H6)^5))+'Risk Inputs'!$B$13)/'Risk Inputs'!$B$14</f>
        <v>253.46347674858589</v>
      </c>
      <c r="J6" s="10">
        <f>(((((((('Risk Inputs'!$B$4*(1+'Risk Inputs'!$B$19))*J$5)-(('Risk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Inputs'!$B$24)))/(1+$H6)^1)+((((((('Risk Inputs'!$B$4*(1+'Risk Inputs'!$B$19))*(1+'Risk Inputs'!$B$19))*J$5)-((('Risk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Inputs'!$B$24)))/(1+$H6)^2)+(((((((('Risk Inputs'!$B$4*(1+'Risk Inputs'!$B$19))*(1+'Risk Inputs'!$B$19))*(1+'Risk Inputs'!$B$19))*J$5)-(((('Risk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Inputs'!$B$24)))/(1+$H6)^3)+((((((((('Risk Inputs'!$B$4*(1+'Risk Inputs'!$B$19))*(1+'Risk Inputs'!$B$19))*(1+'Risk Inputs'!$B$19))*(1+'Risk Inputs'!$B$19))*J$5)-((((('Risk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Inputs'!$B$24)))/(1+$H6)^4)+(((((((((('Risk Inputs'!$B$4*(1+'Risk Inputs'!$B$19))*(1+'Risk Inputs'!$B$19))*(1+'Risk Inputs'!$B$19))*(1+'Risk Inputs'!$B$19))*(1+'Risk Inputs'!$B$19))*J$5)-(((((('Risk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Inputs'!$B$24)))/(1+$H6)^5)+((((((((((('Risk Inputs'!$B$4*(1+'Risk Inputs'!$B$19))*(1+'Risk Inputs'!$B$19))*(1+'Risk Inputs'!$B$19))*(1+'Risk Inputs'!$B$19))*(1+'Risk Inputs'!$B$19))*J$5)-(((((('Risk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Inputs'!$B$25)/($H6-'Risk Inputs'!$B$25))/(1+$H6)^5))+'Risk Inputs'!$B$13)/'Risk Inputs'!$B$14</f>
        <v>293.95298282869993</v>
      </c>
      <c r="K6" s="10">
        <f>(((((((('Risk Inputs'!$B$4*(1+'Risk Inputs'!$B$19))*K$5)-(('Risk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Inputs'!$B$24)))/(1+$H6)^1)+((((((('Risk Inputs'!$B$4*(1+'Risk Inputs'!$B$19))*(1+'Risk Inputs'!$B$19))*K$5)-((('Risk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Inputs'!$B$24)))/(1+$H6)^2)+(((((((('Risk Inputs'!$B$4*(1+'Risk Inputs'!$B$19))*(1+'Risk Inputs'!$B$19))*(1+'Risk Inputs'!$B$19))*K$5)-(((('Risk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Inputs'!$B$24)))/(1+$H6)^3)+((((((((('Risk Inputs'!$B$4*(1+'Risk Inputs'!$B$19))*(1+'Risk Inputs'!$B$19))*(1+'Risk Inputs'!$B$19))*(1+'Risk Inputs'!$B$19))*K$5)-((((('Risk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Inputs'!$B$24)))/(1+$H6)^4)+(((((((((('Risk Inputs'!$B$4*(1+'Risk Inputs'!$B$19))*(1+'Risk Inputs'!$B$19))*(1+'Risk Inputs'!$B$19))*(1+'Risk Inputs'!$B$19))*(1+'Risk Inputs'!$B$19))*K$5)-(((((('Risk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Inputs'!$B$24)))/(1+$H6)^5)+((((((((((('Risk Inputs'!$B$4*(1+'Risk Inputs'!$B$19))*(1+'Risk Inputs'!$B$19))*(1+'Risk Inputs'!$B$19))*(1+'Risk Inputs'!$B$19))*(1+'Risk Inputs'!$B$19))*K$5)-(((((('Risk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Inputs'!$B$25)/($H6-'Risk Inputs'!$B$25))/(1+$H6)^5))+'Risk Inputs'!$B$13)/'Risk Inputs'!$B$14</f>
        <v>334.44248890881374</v>
      </c>
      <c r="L6" s="10">
        <f>(((((((('Risk Inputs'!$B$4*(1+'Risk Inputs'!$B$19))*L$5)-(('Risk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Inputs'!$B$24)))/(1+$H6)^1)+((((((('Risk Inputs'!$B$4*(1+'Risk Inputs'!$B$19))*(1+'Risk Inputs'!$B$19))*L$5)-((('Risk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Inputs'!$B$24)))/(1+$H6)^2)+(((((((('Risk Inputs'!$B$4*(1+'Risk Inputs'!$B$19))*(1+'Risk Inputs'!$B$19))*(1+'Risk Inputs'!$B$19))*L$5)-(((('Risk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Inputs'!$B$24)))/(1+$H6)^3)+((((((((('Risk Inputs'!$B$4*(1+'Risk Inputs'!$B$19))*(1+'Risk Inputs'!$B$19))*(1+'Risk Inputs'!$B$19))*(1+'Risk Inputs'!$B$19))*L$5)-((((('Risk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Inputs'!$B$24)))/(1+$H6)^4)+(((((((((('Risk Inputs'!$B$4*(1+'Risk Inputs'!$B$19))*(1+'Risk Inputs'!$B$19))*(1+'Risk Inputs'!$B$19))*(1+'Risk Inputs'!$B$19))*(1+'Risk Inputs'!$B$19))*L$5)-(((((('Risk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Inputs'!$B$24)))/(1+$H6)^5)+((((((((((('Risk Inputs'!$B$4*(1+'Risk Inputs'!$B$19))*(1+'Risk Inputs'!$B$19))*(1+'Risk Inputs'!$B$19))*(1+'Risk Inputs'!$B$19))*(1+'Risk Inputs'!$B$19))*L$5)-(((((('Risk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Inputs'!$B$25)/($H6-'Risk Inputs'!$B$25))/(1+$H6)^5))+'Risk Inputs'!$B$13)/'Risk Inputs'!$B$14</f>
        <v>374.93199498892767</v>
      </c>
      <c r="M6" s="10">
        <f>(((((((('Risk Inputs'!$B$4*(1+'Risk Inputs'!$B$19))*M$5)-(('Risk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Inputs'!$B$24)))/(1+$H6)^1)+((((((('Risk Inputs'!$B$4*(1+'Risk Inputs'!$B$19))*(1+'Risk Inputs'!$B$19))*M$5)-((('Risk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Inputs'!$B$24)))/(1+$H6)^2)+(((((((('Risk Inputs'!$B$4*(1+'Risk Inputs'!$B$19))*(1+'Risk Inputs'!$B$19))*(1+'Risk Inputs'!$B$19))*M$5)-(((('Risk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Inputs'!$B$24)))/(1+$H6)^3)+((((((((('Risk Inputs'!$B$4*(1+'Risk Inputs'!$B$19))*(1+'Risk Inputs'!$B$19))*(1+'Risk Inputs'!$B$19))*(1+'Risk Inputs'!$B$19))*M$5)-((((('Risk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Inputs'!$B$24)))/(1+$H6)^4)+(((((((((('Risk Inputs'!$B$4*(1+'Risk Inputs'!$B$19))*(1+'Risk Inputs'!$B$19))*(1+'Risk Inputs'!$B$19))*(1+'Risk Inputs'!$B$19))*(1+'Risk Inputs'!$B$19))*M$5)-(((((('Risk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Inputs'!$B$24)))/(1+$H6)^5)+((((((((((('Risk Inputs'!$B$4*(1+'Risk Inputs'!$B$19))*(1+'Risk Inputs'!$B$19))*(1+'Risk Inputs'!$B$19))*(1+'Risk Inputs'!$B$19))*(1+'Risk Inputs'!$B$19))*M$5)-(((((('Risk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Inputs'!$B$25)/($H6-'Risk Inputs'!$B$25))/(1+$H6)^5))+'Risk Inputs'!$B$13)/'Risk Inputs'!$B$14</f>
        <v>415.42150106904143</v>
      </c>
    </row>
    <row r="7" spans="1:15">
      <c r="A7" s="8">
        <v>0.1</v>
      </c>
      <c r="B7" s="10">
        <f>(((((((('Risk Inputs'!$B$4*(1+B$5))*'Risk Inputs'!$B$20)-(('Risk Inputs'!$B$4*(1+B$5))*'Risk Inputs'!$B$22))*(1-'Risk Inputs'!$B$21))+(('Risk Inputs'!$B$4*(1+B$5))*'Risk Inputs'!$B$22)-(('Risk Inputs'!$B$4*(1+B$5))*'Risk Inputs'!$B$23)-((('Risk Inputs'!$B$4*(1+B$5))*'Risk Inputs'!$B$24)-('Risk Inputs'!$B$4*'Risk Inputs'!$B$24)))/(1+$A7)^1)+((((((('Risk Inputs'!$B$4*(1+B$5))*(1+B$5))*'Risk Inputs'!$B$20)-((('Risk Inputs'!$B$4*(1+B$5))*(1+B$5))*'Risk Inputs'!$B$22))*(1-'Risk Inputs'!$B$21))+((('Risk Inputs'!$B$4*(1+B$5))*(1+B$5))*'Risk Inputs'!$B$22)-((('Risk Inputs'!$B$4*(1+B$5))*(1+B$5))*'Risk Inputs'!$B$23)-(((('Risk Inputs'!$B$4*(1+B$5))*(1+B$5))*'Risk Inputs'!$B$24)-(('Risk Inputs'!$B$4*(1+B$5))*'Risk Inputs'!$B$24)))/(1+$A7)^2)+(((((((('Risk Inputs'!$B$4*(1+B$5))*(1+B$5))*(1+B$5))*'Risk Inputs'!$B$20)-(((('Risk Inputs'!$B$4*(1+B$5))*(1+B$5))*(1+B$5))*'Risk Inputs'!$B$22))*(1-'Risk Inputs'!$B$21))+(((('Risk Inputs'!$B$4*(1+B$5))*(1+B$5))*(1+B$5))*'Risk Inputs'!$B$22)-(((('Risk Inputs'!$B$4*(1+B$5))*(1+B$5))*(1+B$5))*'Risk Inputs'!$B$23)-((((('Risk Inputs'!$B$4*(1+B$5))*(1+B$5))*(1+B$5))*'Risk Inputs'!$B$24)-((('Risk Inputs'!$B$4*(1+B$5))*(1+B$5))*'Risk Inputs'!$B$24)))/(1+$A7)^3)+((((((((('Risk Inputs'!$B$4*(1+B$5))*(1+B$5))*(1+B$5))*(1+B$5))*'Risk Inputs'!$B$20)-((((('Risk Inputs'!$B$4*(1+B$5))*(1+B$5))*(1+B$5))*(1+B$5))*'Risk Inputs'!$B$22))*(1-'Risk Inputs'!$B$21))+((((('Risk Inputs'!$B$4*(1+B$5))*(1+B$5))*(1+B$5))*(1+B$5))*'Risk Inputs'!$B$22)-((((('Risk Inputs'!$B$4*(1+B$5))*(1+B$5))*(1+B$5))*(1+B$5))*'Risk Inputs'!$B$23)-(((((('Risk Inputs'!$B$4*(1+B$5))*(1+B$5))*(1+B$5))*(1+B$5))*'Risk Inputs'!$B$24)-(((('Risk Inputs'!$B$4*(1+B$5))*(1+B$5))*(1+B$5))*'Risk Inputs'!$B$24)))/(1+$A7)^4)+(((((((((('Risk Inputs'!$B$4*(1+B$5))*(1+B$5))*(1+B$5))*(1+B$5))*(1+B$5))*'Risk Inputs'!$B$20)-(((((('Risk Inputs'!$B$4*(1+B$5))*(1+B$5))*(1+B$5))*(1+B$5))*(1+B$5))*'Risk Inputs'!$B$22))*(1-'Risk Inputs'!$B$21))+(((((('Risk Inputs'!$B$4*(1+B$5))*(1+B$5))*(1+B$5))*(1+B$5))*(1+B$5))*'Risk Inputs'!$B$22)-(((((('Risk Inputs'!$B$4*(1+B$5))*(1+B$5))*(1+B$5))*(1+B$5))*(1+B$5))*'Risk Inputs'!$B$23)-((((((('Risk Inputs'!$B$4*(1+B$5))*(1+B$5))*(1+B$5))*(1+B$5))*(1+B$5))*'Risk Inputs'!$B$24)-((((('Risk Inputs'!$B$4*(1+B$5))*(1+B$5))*(1+B$5))*(1+B$5))*'Risk Inputs'!$B$24)))/(1+$A7)^5)+((((((((((('Risk Inputs'!$B$4*(1+B$5))*(1+B$5))*(1+B$5))*(1+B$5))*(1+B$5))*'Risk Inputs'!$B$20)-(((((('Risk Inputs'!$B$4*(1+B$5))*(1+B$5))*(1+B$5))*(1+B$5))*(1+B$5))*'Risk Inputs'!$B$22))*(1-'Risk Inputs'!$B$21))+(((((('Risk Inputs'!$B$4*(1+B$5))*(1+B$5))*(1+B$5))*(1+B$5))*(1+B$5))*'Risk Inputs'!$B$22)-(((((('Risk Inputs'!$B$4*(1+B$5))*(1+B$5))*(1+B$5))*(1+B$5))*(1+B$5))*'Risk Inputs'!$B$23)-((((((('Risk Inputs'!$B$4*(1+B$5))*(1+B$5))*(1+B$5))*(1+B$5))*(1+B$5))*'Risk Inputs'!$B$24)-((((('Risk Inputs'!$B$4*(1+B$5))*(1+B$5))*(1+B$5))*(1+B$5))*'Risk Inputs'!$B$24)))*(1+'Risk Inputs'!$B$25)/($A7-'Risk Inputs'!$B$25))/(1+$A7)^5))+'Risk Inputs'!$B$13)/'Risk Inputs'!$B$14</f>
        <v>252.05762681159416</v>
      </c>
      <c r="C7" s="10">
        <f>(((((((('Risk Inputs'!$B$4*(1+C$5))*'Risk Inputs'!$B$20)-(('Risk Inputs'!$B$4*(1+C$5))*'Risk Inputs'!$B$22))*(1-'Risk Inputs'!$B$21))+(('Risk Inputs'!$B$4*(1+C$5))*'Risk Inputs'!$B$22)-(('Risk Inputs'!$B$4*(1+C$5))*'Risk Inputs'!$B$23)-((('Risk Inputs'!$B$4*(1+C$5))*'Risk Inputs'!$B$24)-('Risk Inputs'!$B$4*'Risk Inputs'!$B$24)))/(1+$A7)^1)+((((((('Risk Inputs'!$B$4*(1+C$5))*(1+C$5))*'Risk Inputs'!$B$20)-((('Risk Inputs'!$B$4*(1+C$5))*(1+C$5))*'Risk Inputs'!$B$22))*(1-'Risk Inputs'!$B$21))+((('Risk Inputs'!$B$4*(1+C$5))*(1+C$5))*'Risk Inputs'!$B$22)-((('Risk Inputs'!$B$4*(1+C$5))*(1+C$5))*'Risk Inputs'!$B$23)-(((('Risk Inputs'!$B$4*(1+C$5))*(1+C$5))*'Risk Inputs'!$B$24)-(('Risk Inputs'!$B$4*(1+C$5))*'Risk Inputs'!$B$24)))/(1+$A7)^2)+(((((((('Risk Inputs'!$B$4*(1+C$5))*(1+C$5))*(1+C$5))*'Risk Inputs'!$B$20)-(((('Risk Inputs'!$B$4*(1+C$5))*(1+C$5))*(1+C$5))*'Risk Inputs'!$B$22))*(1-'Risk Inputs'!$B$21))+(((('Risk Inputs'!$B$4*(1+C$5))*(1+C$5))*(1+C$5))*'Risk Inputs'!$B$22)-(((('Risk Inputs'!$B$4*(1+C$5))*(1+C$5))*(1+C$5))*'Risk Inputs'!$B$23)-((((('Risk Inputs'!$B$4*(1+C$5))*(1+C$5))*(1+C$5))*'Risk Inputs'!$B$24)-((('Risk Inputs'!$B$4*(1+C$5))*(1+C$5))*'Risk Inputs'!$B$24)))/(1+$A7)^3)+((((((((('Risk Inputs'!$B$4*(1+C$5))*(1+C$5))*(1+C$5))*(1+C$5))*'Risk Inputs'!$B$20)-((((('Risk Inputs'!$B$4*(1+C$5))*(1+C$5))*(1+C$5))*(1+C$5))*'Risk Inputs'!$B$22))*(1-'Risk Inputs'!$B$21))+((((('Risk Inputs'!$B$4*(1+C$5))*(1+C$5))*(1+C$5))*(1+C$5))*'Risk Inputs'!$B$22)-((((('Risk Inputs'!$B$4*(1+C$5))*(1+C$5))*(1+C$5))*(1+C$5))*'Risk Inputs'!$B$23)-(((((('Risk Inputs'!$B$4*(1+C$5))*(1+C$5))*(1+C$5))*(1+C$5))*'Risk Inputs'!$B$24)-(((('Risk Inputs'!$B$4*(1+C$5))*(1+C$5))*(1+C$5))*'Risk Inputs'!$B$24)))/(1+$A7)^4)+(((((((((('Risk Inputs'!$B$4*(1+C$5))*(1+C$5))*(1+C$5))*(1+C$5))*(1+C$5))*'Risk Inputs'!$B$20)-(((((('Risk Inputs'!$B$4*(1+C$5))*(1+C$5))*(1+C$5))*(1+C$5))*(1+C$5))*'Risk Inputs'!$B$22))*(1-'Risk Inputs'!$B$21))+(((((('Risk Inputs'!$B$4*(1+C$5))*(1+C$5))*(1+C$5))*(1+C$5))*(1+C$5))*'Risk Inputs'!$B$22)-(((((('Risk Inputs'!$B$4*(1+C$5))*(1+C$5))*(1+C$5))*(1+C$5))*(1+C$5))*'Risk Inputs'!$B$23)-((((((('Risk Inputs'!$B$4*(1+C$5))*(1+C$5))*(1+C$5))*(1+C$5))*(1+C$5))*'Risk Inputs'!$B$24)-((((('Risk Inputs'!$B$4*(1+C$5))*(1+C$5))*(1+C$5))*(1+C$5))*'Risk Inputs'!$B$24)))/(1+$A7)^5)+((((((((((('Risk Inputs'!$B$4*(1+C$5))*(1+C$5))*(1+C$5))*(1+C$5))*(1+C$5))*'Risk Inputs'!$B$20)-(((((('Risk Inputs'!$B$4*(1+C$5))*(1+C$5))*(1+C$5))*(1+C$5))*(1+C$5))*'Risk Inputs'!$B$22))*(1-'Risk Inputs'!$B$21))+(((((('Risk Inputs'!$B$4*(1+C$5))*(1+C$5))*(1+C$5))*(1+C$5))*(1+C$5))*'Risk Inputs'!$B$22)-(((((('Risk Inputs'!$B$4*(1+C$5))*(1+C$5))*(1+C$5))*(1+C$5))*(1+C$5))*'Risk Inputs'!$B$23)-((((((('Risk Inputs'!$B$4*(1+C$5))*(1+C$5))*(1+C$5))*(1+C$5))*(1+C$5))*'Risk Inputs'!$B$24)-((((('Risk Inputs'!$B$4*(1+C$5))*(1+C$5))*(1+C$5))*(1+C$5))*'Risk Inputs'!$B$24)))*(1+'Risk Inputs'!$B$25)/($A7-'Risk Inputs'!$B$25))/(1+$A7)^5))+'Risk Inputs'!$B$13)/'Risk Inputs'!$B$14</f>
        <v>265.26410336676923</v>
      </c>
      <c r="D7" s="10">
        <f>(((((((('Risk Inputs'!$B$4*(1+D$5))*'Risk Inputs'!$B$20)-(('Risk Inputs'!$B$4*(1+D$5))*'Risk Inputs'!$B$22))*(1-'Risk Inputs'!$B$21))+(('Risk Inputs'!$B$4*(1+D$5))*'Risk Inputs'!$B$22)-(('Risk Inputs'!$B$4*(1+D$5))*'Risk Inputs'!$B$23)-((('Risk Inputs'!$B$4*(1+D$5))*'Risk Inputs'!$B$24)-('Risk Inputs'!$B$4*'Risk Inputs'!$B$24)))/(1+$A7)^1)+((((((('Risk Inputs'!$B$4*(1+D$5))*(1+D$5))*'Risk Inputs'!$B$20)-((('Risk Inputs'!$B$4*(1+D$5))*(1+D$5))*'Risk Inputs'!$B$22))*(1-'Risk Inputs'!$B$21))+((('Risk Inputs'!$B$4*(1+D$5))*(1+D$5))*'Risk Inputs'!$B$22)-((('Risk Inputs'!$B$4*(1+D$5))*(1+D$5))*'Risk Inputs'!$B$23)-(((('Risk Inputs'!$B$4*(1+D$5))*(1+D$5))*'Risk Inputs'!$B$24)-(('Risk Inputs'!$B$4*(1+D$5))*'Risk Inputs'!$B$24)))/(1+$A7)^2)+(((((((('Risk Inputs'!$B$4*(1+D$5))*(1+D$5))*(1+D$5))*'Risk Inputs'!$B$20)-(((('Risk Inputs'!$B$4*(1+D$5))*(1+D$5))*(1+D$5))*'Risk Inputs'!$B$22))*(1-'Risk Inputs'!$B$21))+(((('Risk Inputs'!$B$4*(1+D$5))*(1+D$5))*(1+D$5))*'Risk Inputs'!$B$22)-(((('Risk Inputs'!$B$4*(1+D$5))*(1+D$5))*(1+D$5))*'Risk Inputs'!$B$23)-((((('Risk Inputs'!$B$4*(1+D$5))*(1+D$5))*(1+D$5))*'Risk Inputs'!$B$24)-((('Risk Inputs'!$B$4*(1+D$5))*(1+D$5))*'Risk Inputs'!$B$24)))/(1+$A7)^3)+((((((((('Risk Inputs'!$B$4*(1+D$5))*(1+D$5))*(1+D$5))*(1+D$5))*'Risk Inputs'!$B$20)-((((('Risk Inputs'!$B$4*(1+D$5))*(1+D$5))*(1+D$5))*(1+D$5))*'Risk Inputs'!$B$22))*(1-'Risk Inputs'!$B$21))+((((('Risk Inputs'!$B$4*(1+D$5))*(1+D$5))*(1+D$5))*(1+D$5))*'Risk Inputs'!$B$22)-((((('Risk Inputs'!$B$4*(1+D$5))*(1+D$5))*(1+D$5))*(1+D$5))*'Risk Inputs'!$B$23)-(((((('Risk Inputs'!$B$4*(1+D$5))*(1+D$5))*(1+D$5))*(1+D$5))*'Risk Inputs'!$B$24)-(((('Risk Inputs'!$B$4*(1+D$5))*(1+D$5))*(1+D$5))*'Risk Inputs'!$B$24)))/(1+$A7)^4)+(((((((((('Risk Inputs'!$B$4*(1+D$5))*(1+D$5))*(1+D$5))*(1+D$5))*(1+D$5))*'Risk Inputs'!$B$20)-(((((('Risk Inputs'!$B$4*(1+D$5))*(1+D$5))*(1+D$5))*(1+D$5))*(1+D$5))*'Risk Inputs'!$B$22))*(1-'Risk Inputs'!$B$21))+(((((('Risk Inputs'!$B$4*(1+D$5))*(1+D$5))*(1+D$5))*(1+D$5))*(1+D$5))*'Risk Inputs'!$B$22)-(((((('Risk Inputs'!$B$4*(1+D$5))*(1+D$5))*(1+D$5))*(1+D$5))*(1+D$5))*'Risk Inputs'!$B$23)-((((((('Risk Inputs'!$B$4*(1+D$5))*(1+D$5))*(1+D$5))*(1+D$5))*(1+D$5))*'Risk Inputs'!$B$24)-((((('Risk Inputs'!$B$4*(1+D$5))*(1+D$5))*(1+D$5))*(1+D$5))*'Risk Inputs'!$B$24)))/(1+$A7)^5)+((((((((((('Risk Inputs'!$B$4*(1+D$5))*(1+D$5))*(1+D$5))*(1+D$5))*(1+D$5))*'Risk Inputs'!$B$20)-(((((('Risk Inputs'!$B$4*(1+D$5))*(1+D$5))*(1+D$5))*(1+D$5))*(1+D$5))*'Risk Inputs'!$B$22))*(1-'Risk Inputs'!$B$21))+(((((('Risk Inputs'!$B$4*(1+D$5))*(1+D$5))*(1+D$5))*(1+D$5))*(1+D$5))*'Risk Inputs'!$B$22)-(((((('Risk Inputs'!$B$4*(1+D$5))*(1+D$5))*(1+D$5))*(1+D$5))*(1+D$5))*'Risk Inputs'!$B$23)-((((((('Risk Inputs'!$B$4*(1+D$5))*(1+D$5))*(1+D$5))*(1+D$5))*(1+D$5))*'Risk Inputs'!$B$24)-((((('Risk Inputs'!$B$4*(1+D$5))*(1+D$5))*(1+D$5))*(1+D$5))*'Risk Inputs'!$B$24)))*(1+'Risk Inputs'!$B$25)/($A7-'Risk Inputs'!$B$25))/(1+$A7)^5))+'Risk Inputs'!$B$13)/'Risk Inputs'!$B$14</f>
        <v>279.05355022553022</v>
      </c>
      <c r="E7" s="10">
        <f>(((((((('Risk Inputs'!$B$4*(1+E$5))*'Risk Inputs'!$B$20)-(('Risk Inputs'!$B$4*(1+E$5))*'Risk Inputs'!$B$22))*(1-'Risk Inputs'!$B$21))+(('Risk Inputs'!$B$4*(1+E$5))*'Risk Inputs'!$B$22)-(('Risk Inputs'!$B$4*(1+E$5))*'Risk Inputs'!$B$23)-((('Risk Inputs'!$B$4*(1+E$5))*'Risk Inputs'!$B$24)-('Risk Inputs'!$B$4*'Risk Inputs'!$B$24)))/(1+$A7)^1)+((((((('Risk Inputs'!$B$4*(1+E$5))*(1+E$5))*'Risk Inputs'!$B$20)-((('Risk Inputs'!$B$4*(1+E$5))*(1+E$5))*'Risk Inputs'!$B$22))*(1-'Risk Inputs'!$B$21))+((('Risk Inputs'!$B$4*(1+E$5))*(1+E$5))*'Risk Inputs'!$B$22)-((('Risk Inputs'!$B$4*(1+E$5))*(1+E$5))*'Risk Inputs'!$B$23)-(((('Risk Inputs'!$B$4*(1+E$5))*(1+E$5))*'Risk Inputs'!$B$24)-(('Risk Inputs'!$B$4*(1+E$5))*'Risk Inputs'!$B$24)))/(1+$A7)^2)+(((((((('Risk Inputs'!$B$4*(1+E$5))*(1+E$5))*(1+E$5))*'Risk Inputs'!$B$20)-(((('Risk Inputs'!$B$4*(1+E$5))*(1+E$5))*(1+E$5))*'Risk Inputs'!$B$22))*(1-'Risk Inputs'!$B$21))+(((('Risk Inputs'!$B$4*(1+E$5))*(1+E$5))*(1+E$5))*'Risk Inputs'!$B$22)-(((('Risk Inputs'!$B$4*(1+E$5))*(1+E$5))*(1+E$5))*'Risk Inputs'!$B$23)-((((('Risk Inputs'!$B$4*(1+E$5))*(1+E$5))*(1+E$5))*'Risk Inputs'!$B$24)-((('Risk Inputs'!$B$4*(1+E$5))*(1+E$5))*'Risk Inputs'!$B$24)))/(1+$A7)^3)+((((((((('Risk Inputs'!$B$4*(1+E$5))*(1+E$5))*(1+E$5))*(1+E$5))*'Risk Inputs'!$B$20)-((((('Risk Inputs'!$B$4*(1+E$5))*(1+E$5))*(1+E$5))*(1+E$5))*'Risk Inputs'!$B$22))*(1-'Risk Inputs'!$B$21))+((((('Risk Inputs'!$B$4*(1+E$5))*(1+E$5))*(1+E$5))*(1+E$5))*'Risk Inputs'!$B$22)-((((('Risk Inputs'!$B$4*(1+E$5))*(1+E$5))*(1+E$5))*(1+E$5))*'Risk Inputs'!$B$23)-(((((('Risk Inputs'!$B$4*(1+E$5))*(1+E$5))*(1+E$5))*(1+E$5))*'Risk Inputs'!$B$24)-(((('Risk Inputs'!$B$4*(1+E$5))*(1+E$5))*(1+E$5))*'Risk Inputs'!$B$24)))/(1+$A7)^4)+(((((((((('Risk Inputs'!$B$4*(1+E$5))*(1+E$5))*(1+E$5))*(1+E$5))*(1+E$5))*'Risk Inputs'!$B$20)-(((((('Risk Inputs'!$B$4*(1+E$5))*(1+E$5))*(1+E$5))*(1+E$5))*(1+E$5))*'Risk Inputs'!$B$22))*(1-'Risk Inputs'!$B$21))+(((((('Risk Inputs'!$B$4*(1+E$5))*(1+E$5))*(1+E$5))*(1+E$5))*(1+E$5))*'Risk Inputs'!$B$22)-(((((('Risk Inputs'!$B$4*(1+E$5))*(1+E$5))*(1+E$5))*(1+E$5))*(1+E$5))*'Risk Inputs'!$B$23)-((((((('Risk Inputs'!$B$4*(1+E$5))*(1+E$5))*(1+E$5))*(1+E$5))*(1+E$5))*'Risk Inputs'!$B$24)-((((('Risk Inputs'!$B$4*(1+E$5))*(1+E$5))*(1+E$5))*(1+E$5))*'Risk Inputs'!$B$24)))/(1+$A7)^5)+((((((((((('Risk Inputs'!$B$4*(1+E$5))*(1+E$5))*(1+E$5))*(1+E$5))*(1+E$5))*'Risk Inputs'!$B$20)-(((((('Risk Inputs'!$B$4*(1+E$5))*(1+E$5))*(1+E$5))*(1+E$5))*(1+E$5))*'Risk Inputs'!$B$22))*(1-'Risk Inputs'!$B$21))+(((((('Risk Inputs'!$B$4*(1+E$5))*(1+E$5))*(1+E$5))*(1+E$5))*(1+E$5))*'Risk Inputs'!$B$22)-(((((('Risk Inputs'!$B$4*(1+E$5))*(1+E$5))*(1+E$5))*(1+E$5))*(1+E$5))*'Risk Inputs'!$B$23)-((((((('Risk Inputs'!$B$4*(1+E$5))*(1+E$5))*(1+E$5))*(1+E$5))*(1+E$5))*'Risk Inputs'!$B$24)-((((('Risk Inputs'!$B$4*(1+E$5))*(1+E$5))*(1+E$5))*(1+E$5))*'Risk Inputs'!$B$24)))*(1+'Risk Inputs'!$B$25)/($A7-'Risk Inputs'!$B$25))/(1+$A7)^5))+'Risk Inputs'!$B$13)/'Risk Inputs'!$B$14</f>
        <v>293.44421275710374</v>
      </c>
      <c r="F7" s="10">
        <f>(((((((('Risk Inputs'!$B$4*(1+F$5))*'Risk Inputs'!$B$20)-(('Risk Inputs'!$B$4*(1+F$5))*'Risk Inputs'!$B$22))*(1-'Risk Inputs'!$B$21))+(('Risk Inputs'!$B$4*(1+F$5))*'Risk Inputs'!$B$22)-(('Risk Inputs'!$B$4*(1+F$5))*'Risk Inputs'!$B$23)-((('Risk Inputs'!$B$4*(1+F$5))*'Risk Inputs'!$B$24)-('Risk Inputs'!$B$4*'Risk Inputs'!$B$24)))/(1+$A7)^1)+((((((('Risk Inputs'!$B$4*(1+F$5))*(1+F$5))*'Risk Inputs'!$B$20)-((('Risk Inputs'!$B$4*(1+F$5))*(1+F$5))*'Risk Inputs'!$B$22))*(1-'Risk Inputs'!$B$21))+((('Risk Inputs'!$B$4*(1+F$5))*(1+F$5))*'Risk Inputs'!$B$22)-((('Risk Inputs'!$B$4*(1+F$5))*(1+F$5))*'Risk Inputs'!$B$23)-(((('Risk Inputs'!$B$4*(1+F$5))*(1+F$5))*'Risk Inputs'!$B$24)-(('Risk Inputs'!$B$4*(1+F$5))*'Risk Inputs'!$B$24)))/(1+$A7)^2)+(((((((('Risk Inputs'!$B$4*(1+F$5))*(1+F$5))*(1+F$5))*'Risk Inputs'!$B$20)-(((('Risk Inputs'!$B$4*(1+F$5))*(1+F$5))*(1+F$5))*'Risk Inputs'!$B$22))*(1-'Risk Inputs'!$B$21))+(((('Risk Inputs'!$B$4*(1+F$5))*(1+F$5))*(1+F$5))*'Risk Inputs'!$B$22)-(((('Risk Inputs'!$B$4*(1+F$5))*(1+F$5))*(1+F$5))*'Risk Inputs'!$B$23)-((((('Risk Inputs'!$B$4*(1+F$5))*(1+F$5))*(1+F$5))*'Risk Inputs'!$B$24)-((('Risk Inputs'!$B$4*(1+F$5))*(1+F$5))*'Risk Inputs'!$B$24)))/(1+$A7)^3)+((((((((('Risk Inputs'!$B$4*(1+F$5))*(1+F$5))*(1+F$5))*(1+F$5))*'Risk Inputs'!$B$20)-((((('Risk Inputs'!$B$4*(1+F$5))*(1+F$5))*(1+F$5))*(1+F$5))*'Risk Inputs'!$B$22))*(1-'Risk Inputs'!$B$21))+((((('Risk Inputs'!$B$4*(1+F$5))*(1+F$5))*(1+F$5))*(1+F$5))*'Risk Inputs'!$B$22)-((((('Risk Inputs'!$B$4*(1+F$5))*(1+F$5))*(1+F$5))*(1+F$5))*'Risk Inputs'!$B$23)-(((((('Risk Inputs'!$B$4*(1+F$5))*(1+F$5))*(1+F$5))*(1+F$5))*'Risk Inputs'!$B$24)-(((('Risk Inputs'!$B$4*(1+F$5))*(1+F$5))*(1+F$5))*'Risk Inputs'!$B$24)))/(1+$A7)^4)+(((((((((('Risk Inputs'!$B$4*(1+F$5))*(1+F$5))*(1+F$5))*(1+F$5))*(1+F$5))*'Risk Inputs'!$B$20)-(((((('Risk Inputs'!$B$4*(1+F$5))*(1+F$5))*(1+F$5))*(1+F$5))*(1+F$5))*'Risk Inputs'!$B$22))*(1-'Risk Inputs'!$B$21))+(((((('Risk Inputs'!$B$4*(1+F$5))*(1+F$5))*(1+F$5))*(1+F$5))*(1+F$5))*'Risk Inputs'!$B$22)-(((((('Risk Inputs'!$B$4*(1+F$5))*(1+F$5))*(1+F$5))*(1+F$5))*(1+F$5))*'Risk Inputs'!$B$23)-((((((('Risk Inputs'!$B$4*(1+F$5))*(1+F$5))*(1+F$5))*(1+F$5))*(1+F$5))*'Risk Inputs'!$B$24)-((((('Risk Inputs'!$B$4*(1+F$5))*(1+F$5))*(1+F$5))*(1+F$5))*'Risk Inputs'!$B$24)))/(1+$A7)^5)+((((((((((('Risk Inputs'!$B$4*(1+F$5))*(1+F$5))*(1+F$5))*(1+F$5))*(1+F$5))*'Risk Inputs'!$B$20)-(((((('Risk Inputs'!$B$4*(1+F$5))*(1+F$5))*(1+F$5))*(1+F$5))*(1+F$5))*'Risk Inputs'!$B$22))*(1-'Risk Inputs'!$B$21))+(((((('Risk Inputs'!$B$4*(1+F$5))*(1+F$5))*(1+F$5))*(1+F$5))*(1+F$5))*'Risk Inputs'!$B$22)-(((((('Risk Inputs'!$B$4*(1+F$5))*(1+F$5))*(1+F$5))*(1+F$5))*(1+F$5))*'Risk Inputs'!$B$23)-((((((('Risk Inputs'!$B$4*(1+F$5))*(1+F$5))*(1+F$5))*(1+F$5))*(1+F$5))*'Risk Inputs'!$B$24)-((((('Risk Inputs'!$B$4*(1+F$5))*(1+F$5))*(1+F$5))*(1+F$5))*'Risk Inputs'!$B$24)))*(1+'Risk Inputs'!$B$25)/($A7-'Risk Inputs'!$B$25))/(1+$A7)^5))+'Risk Inputs'!$B$13)/'Risk Inputs'!$B$14</f>
        <v>308.45467164855074</v>
      </c>
      <c r="H7" s="8">
        <v>0.1</v>
      </c>
      <c r="I7" s="10">
        <f>(((((((('Risk Inputs'!$B$4*(1+'Risk Inputs'!$B$19))*I$5)-(('Risk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Inputs'!$B$24)))/(1+$H7)^1)+((((((('Risk Inputs'!$B$4*(1+'Risk Inputs'!$B$19))*(1+'Risk Inputs'!$B$19))*I$5)-((('Risk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Inputs'!$B$24)))/(1+$H7)^2)+(((((((('Risk Inputs'!$B$4*(1+'Risk Inputs'!$B$19))*(1+'Risk Inputs'!$B$19))*(1+'Risk Inputs'!$B$19))*I$5)-(((('Risk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Inputs'!$B$24)))/(1+$H7)^3)+((((((((('Risk Inputs'!$B$4*(1+'Risk Inputs'!$B$19))*(1+'Risk Inputs'!$B$19))*(1+'Risk Inputs'!$B$19))*(1+'Risk Inputs'!$B$19))*I$5)-((((('Risk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Inputs'!$B$24)))/(1+$H7)^4)+(((((((((('Risk Inputs'!$B$4*(1+'Risk Inputs'!$B$19))*(1+'Risk Inputs'!$B$19))*(1+'Risk Inputs'!$B$19))*(1+'Risk Inputs'!$B$19))*(1+'Risk Inputs'!$B$19))*I$5)-(((((('Risk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Inputs'!$B$24)))/(1+$H7)^5)+((((((((((('Risk Inputs'!$B$4*(1+'Risk Inputs'!$B$19))*(1+'Risk Inputs'!$B$19))*(1+'Risk Inputs'!$B$19))*(1+'Risk Inputs'!$B$19))*(1+'Risk Inputs'!$B$19))*I$5)-(((((('Risk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Inputs'!$B$25)/($H7-'Risk Inputs'!$B$25))/(1+$H7)^5))+'Risk Inputs'!$B$13)/'Risk Inputs'!$B$14</f>
        <v>211.7167150908023</v>
      </c>
      <c r="J7" s="10">
        <f>(((((((('Risk Inputs'!$B$4*(1+'Risk Inputs'!$B$19))*J$5)-(('Risk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Inputs'!$B$24)))/(1+$H7)^1)+((((((('Risk Inputs'!$B$4*(1+'Risk Inputs'!$B$19))*(1+'Risk Inputs'!$B$19))*J$5)-((('Risk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Inputs'!$B$24)))/(1+$H7)^2)+(((((((('Risk Inputs'!$B$4*(1+'Risk Inputs'!$B$19))*(1+'Risk Inputs'!$B$19))*(1+'Risk Inputs'!$B$19))*J$5)-(((('Risk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Inputs'!$B$24)))/(1+$H7)^3)+((((((((('Risk Inputs'!$B$4*(1+'Risk Inputs'!$B$19))*(1+'Risk Inputs'!$B$19))*(1+'Risk Inputs'!$B$19))*(1+'Risk Inputs'!$B$19))*J$5)-((((('Risk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Inputs'!$B$24)))/(1+$H7)^4)+(((((((((('Risk Inputs'!$B$4*(1+'Risk Inputs'!$B$19))*(1+'Risk Inputs'!$B$19))*(1+'Risk Inputs'!$B$19))*(1+'Risk Inputs'!$B$19))*(1+'Risk Inputs'!$B$19))*J$5)-(((((('Risk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Inputs'!$B$24)))/(1+$H7)^5)+((((((((((('Risk Inputs'!$B$4*(1+'Risk Inputs'!$B$19))*(1+'Risk Inputs'!$B$19))*(1+'Risk Inputs'!$B$19))*(1+'Risk Inputs'!$B$19))*(1+'Risk Inputs'!$B$19))*J$5)-(((((('Risk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Inputs'!$B$25)/($H7-'Risk Inputs'!$B$25))/(1+$H7)^5))+'Risk Inputs'!$B$13)/'Risk Inputs'!$B$14</f>
        <v>245.38513265816636</v>
      </c>
      <c r="K7" s="10">
        <f>(((((((('Risk Inputs'!$B$4*(1+'Risk Inputs'!$B$19))*K$5)-(('Risk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Inputs'!$B$24)))/(1+$H7)^1)+((((((('Risk Inputs'!$B$4*(1+'Risk Inputs'!$B$19))*(1+'Risk Inputs'!$B$19))*K$5)-((('Risk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Inputs'!$B$24)))/(1+$H7)^2)+(((((((('Risk Inputs'!$B$4*(1+'Risk Inputs'!$B$19))*(1+'Risk Inputs'!$B$19))*(1+'Risk Inputs'!$B$19))*K$5)-(((('Risk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Inputs'!$B$24)))/(1+$H7)^3)+((((((((('Risk Inputs'!$B$4*(1+'Risk Inputs'!$B$19))*(1+'Risk Inputs'!$B$19))*(1+'Risk Inputs'!$B$19))*(1+'Risk Inputs'!$B$19))*K$5)-((((('Risk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Inputs'!$B$24)))/(1+$H7)^4)+(((((((((('Risk Inputs'!$B$4*(1+'Risk Inputs'!$B$19))*(1+'Risk Inputs'!$B$19))*(1+'Risk Inputs'!$B$19))*(1+'Risk Inputs'!$B$19))*(1+'Risk Inputs'!$B$19))*K$5)-(((((('Risk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Inputs'!$B$24)))/(1+$H7)^5)+((((((((((('Risk Inputs'!$B$4*(1+'Risk Inputs'!$B$19))*(1+'Risk Inputs'!$B$19))*(1+'Risk Inputs'!$B$19))*(1+'Risk Inputs'!$B$19))*(1+'Risk Inputs'!$B$19))*K$5)-(((((('Risk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Inputs'!$B$25)/($H7-'Risk Inputs'!$B$25))/(1+$H7)^5))+'Risk Inputs'!$B$13)/'Risk Inputs'!$B$14</f>
        <v>279.05355022553022</v>
      </c>
      <c r="L7" s="10">
        <f>(((((((('Risk Inputs'!$B$4*(1+'Risk Inputs'!$B$19))*L$5)-(('Risk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Inputs'!$B$24)))/(1+$H7)^1)+((((((('Risk Inputs'!$B$4*(1+'Risk Inputs'!$B$19))*(1+'Risk Inputs'!$B$19))*L$5)-((('Risk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Inputs'!$B$24)))/(1+$H7)^2)+(((((((('Risk Inputs'!$B$4*(1+'Risk Inputs'!$B$19))*(1+'Risk Inputs'!$B$19))*(1+'Risk Inputs'!$B$19))*L$5)-(((('Risk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Inputs'!$B$24)))/(1+$H7)^3)+((((((((('Risk Inputs'!$B$4*(1+'Risk Inputs'!$B$19))*(1+'Risk Inputs'!$B$19))*(1+'Risk Inputs'!$B$19))*(1+'Risk Inputs'!$B$19))*L$5)-((((('Risk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Inputs'!$B$24)))/(1+$H7)^4)+(((((((((('Risk Inputs'!$B$4*(1+'Risk Inputs'!$B$19))*(1+'Risk Inputs'!$B$19))*(1+'Risk Inputs'!$B$19))*(1+'Risk Inputs'!$B$19))*(1+'Risk Inputs'!$B$19))*L$5)-(((((('Risk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Inputs'!$B$24)))/(1+$H7)^5)+((((((((((('Risk Inputs'!$B$4*(1+'Risk Inputs'!$B$19))*(1+'Risk Inputs'!$B$19))*(1+'Risk Inputs'!$B$19))*(1+'Risk Inputs'!$B$19))*(1+'Risk Inputs'!$B$19))*L$5)-(((((('Risk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Inputs'!$B$25)/($H7-'Risk Inputs'!$B$25))/(1+$H7)^5))+'Risk Inputs'!$B$13)/'Risk Inputs'!$B$14</f>
        <v>312.72196779289419</v>
      </c>
      <c r="M7" s="10">
        <f>(((((((('Risk Inputs'!$B$4*(1+'Risk Inputs'!$B$19))*M$5)-(('Risk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Inputs'!$B$24)))/(1+$H7)^1)+((((((('Risk Inputs'!$B$4*(1+'Risk Inputs'!$B$19))*(1+'Risk Inputs'!$B$19))*M$5)-((('Risk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Inputs'!$B$24)))/(1+$H7)^2)+(((((((('Risk Inputs'!$B$4*(1+'Risk Inputs'!$B$19))*(1+'Risk Inputs'!$B$19))*(1+'Risk Inputs'!$B$19))*M$5)-(((('Risk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Inputs'!$B$24)))/(1+$H7)^3)+((((((((('Risk Inputs'!$B$4*(1+'Risk Inputs'!$B$19))*(1+'Risk Inputs'!$B$19))*(1+'Risk Inputs'!$B$19))*(1+'Risk Inputs'!$B$19))*M$5)-((((('Risk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Inputs'!$B$24)))/(1+$H7)^4)+(((((((((('Risk Inputs'!$B$4*(1+'Risk Inputs'!$B$19))*(1+'Risk Inputs'!$B$19))*(1+'Risk Inputs'!$B$19))*(1+'Risk Inputs'!$B$19))*(1+'Risk Inputs'!$B$19))*M$5)-(((((('Risk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Inputs'!$B$24)))/(1+$H7)^5)+((((((((((('Risk Inputs'!$B$4*(1+'Risk Inputs'!$B$19))*(1+'Risk Inputs'!$B$19))*(1+'Risk Inputs'!$B$19))*(1+'Risk Inputs'!$B$19))*(1+'Risk Inputs'!$B$19))*M$5)-(((((('Risk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Inputs'!$B$25)/($H7-'Risk Inputs'!$B$25))/(1+$H7)^5))+'Risk Inputs'!$B$13)/'Risk Inputs'!$B$14</f>
        <v>346.39038536025799</v>
      </c>
    </row>
    <row r="8" spans="1:15">
      <c r="A8" s="8">
        <v>0.11</v>
      </c>
      <c r="B8" s="10">
        <f>(((((((('Risk Inputs'!$B$4*(1+B$5))*'Risk Inputs'!$B$20)-(('Risk Inputs'!$B$4*(1+B$5))*'Risk Inputs'!$B$22))*(1-'Risk Inputs'!$B$21))+(('Risk Inputs'!$B$4*(1+B$5))*'Risk Inputs'!$B$22)-(('Risk Inputs'!$B$4*(1+B$5))*'Risk Inputs'!$B$23)-((('Risk Inputs'!$B$4*(1+B$5))*'Risk Inputs'!$B$24)-('Risk Inputs'!$B$4*'Risk Inputs'!$B$24)))/(1+$A8)^1)+((((((('Risk Inputs'!$B$4*(1+B$5))*(1+B$5))*'Risk Inputs'!$B$20)-((('Risk Inputs'!$B$4*(1+B$5))*(1+B$5))*'Risk Inputs'!$B$22))*(1-'Risk Inputs'!$B$21))+((('Risk Inputs'!$B$4*(1+B$5))*(1+B$5))*'Risk Inputs'!$B$22)-((('Risk Inputs'!$B$4*(1+B$5))*(1+B$5))*'Risk Inputs'!$B$23)-(((('Risk Inputs'!$B$4*(1+B$5))*(1+B$5))*'Risk Inputs'!$B$24)-(('Risk Inputs'!$B$4*(1+B$5))*'Risk Inputs'!$B$24)))/(1+$A8)^2)+(((((((('Risk Inputs'!$B$4*(1+B$5))*(1+B$5))*(1+B$5))*'Risk Inputs'!$B$20)-(((('Risk Inputs'!$B$4*(1+B$5))*(1+B$5))*(1+B$5))*'Risk Inputs'!$B$22))*(1-'Risk Inputs'!$B$21))+(((('Risk Inputs'!$B$4*(1+B$5))*(1+B$5))*(1+B$5))*'Risk Inputs'!$B$22)-(((('Risk Inputs'!$B$4*(1+B$5))*(1+B$5))*(1+B$5))*'Risk Inputs'!$B$23)-((((('Risk Inputs'!$B$4*(1+B$5))*(1+B$5))*(1+B$5))*'Risk Inputs'!$B$24)-((('Risk Inputs'!$B$4*(1+B$5))*(1+B$5))*'Risk Inputs'!$B$24)))/(1+$A8)^3)+((((((((('Risk Inputs'!$B$4*(1+B$5))*(1+B$5))*(1+B$5))*(1+B$5))*'Risk Inputs'!$B$20)-((((('Risk Inputs'!$B$4*(1+B$5))*(1+B$5))*(1+B$5))*(1+B$5))*'Risk Inputs'!$B$22))*(1-'Risk Inputs'!$B$21))+((((('Risk Inputs'!$B$4*(1+B$5))*(1+B$5))*(1+B$5))*(1+B$5))*'Risk Inputs'!$B$22)-((((('Risk Inputs'!$B$4*(1+B$5))*(1+B$5))*(1+B$5))*(1+B$5))*'Risk Inputs'!$B$23)-(((((('Risk Inputs'!$B$4*(1+B$5))*(1+B$5))*(1+B$5))*(1+B$5))*'Risk Inputs'!$B$24)-(((('Risk Inputs'!$B$4*(1+B$5))*(1+B$5))*(1+B$5))*'Risk Inputs'!$B$24)))/(1+$A8)^4)+(((((((((('Risk Inputs'!$B$4*(1+B$5))*(1+B$5))*(1+B$5))*(1+B$5))*(1+B$5))*'Risk Inputs'!$B$20)-(((((('Risk Inputs'!$B$4*(1+B$5))*(1+B$5))*(1+B$5))*(1+B$5))*(1+B$5))*'Risk Inputs'!$B$22))*(1-'Risk Inputs'!$B$21))+(((((('Risk Inputs'!$B$4*(1+B$5))*(1+B$5))*(1+B$5))*(1+B$5))*(1+B$5))*'Risk Inputs'!$B$22)-(((((('Risk Inputs'!$B$4*(1+B$5))*(1+B$5))*(1+B$5))*(1+B$5))*(1+B$5))*'Risk Inputs'!$B$23)-((((((('Risk Inputs'!$B$4*(1+B$5))*(1+B$5))*(1+B$5))*(1+B$5))*(1+B$5))*'Risk Inputs'!$B$24)-((((('Risk Inputs'!$B$4*(1+B$5))*(1+B$5))*(1+B$5))*(1+B$5))*'Risk Inputs'!$B$24)))/(1+$A8)^5)+((((((((((('Risk Inputs'!$B$4*(1+B$5))*(1+B$5))*(1+B$5))*(1+B$5))*(1+B$5))*'Risk Inputs'!$B$20)-(((((('Risk Inputs'!$B$4*(1+B$5))*(1+B$5))*(1+B$5))*(1+B$5))*(1+B$5))*'Risk Inputs'!$B$22))*(1-'Risk Inputs'!$B$21))+(((((('Risk Inputs'!$B$4*(1+B$5))*(1+B$5))*(1+B$5))*(1+B$5))*(1+B$5))*'Risk Inputs'!$B$22)-(((((('Risk Inputs'!$B$4*(1+B$5))*(1+B$5))*(1+B$5))*(1+B$5))*(1+B$5))*'Risk Inputs'!$B$23)-((((((('Risk Inputs'!$B$4*(1+B$5))*(1+B$5))*(1+B$5))*(1+B$5))*(1+B$5))*'Risk Inputs'!$B$24)-((((('Risk Inputs'!$B$4*(1+B$5))*(1+B$5))*(1+B$5))*(1+B$5))*'Risk Inputs'!$B$24)))*(1+'Risk Inputs'!$B$25)/($A8-'Risk Inputs'!$B$25))/(1+$A8)^5))+'Risk Inputs'!$B$13)/'Risk Inputs'!$B$14</f>
        <v>216.85762422360241</v>
      </c>
      <c r="C8" s="10">
        <f>(((((((('Risk Inputs'!$B$4*(1+C$5))*'Risk Inputs'!$B$20)-(('Risk Inputs'!$B$4*(1+C$5))*'Risk Inputs'!$B$22))*(1-'Risk Inputs'!$B$21))+(('Risk Inputs'!$B$4*(1+C$5))*'Risk Inputs'!$B$22)-(('Risk Inputs'!$B$4*(1+C$5))*'Risk Inputs'!$B$23)-((('Risk Inputs'!$B$4*(1+C$5))*'Risk Inputs'!$B$24)-('Risk Inputs'!$B$4*'Risk Inputs'!$B$24)))/(1+$A8)^1)+((((((('Risk Inputs'!$B$4*(1+C$5))*(1+C$5))*'Risk Inputs'!$B$20)-((('Risk Inputs'!$B$4*(1+C$5))*(1+C$5))*'Risk Inputs'!$B$22))*(1-'Risk Inputs'!$B$21))+((('Risk Inputs'!$B$4*(1+C$5))*(1+C$5))*'Risk Inputs'!$B$22)-((('Risk Inputs'!$B$4*(1+C$5))*(1+C$5))*'Risk Inputs'!$B$23)-(((('Risk Inputs'!$B$4*(1+C$5))*(1+C$5))*'Risk Inputs'!$B$24)-(('Risk Inputs'!$B$4*(1+C$5))*'Risk Inputs'!$B$24)))/(1+$A8)^2)+(((((((('Risk Inputs'!$B$4*(1+C$5))*(1+C$5))*(1+C$5))*'Risk Inputs'!$B$20)-(((('Risk Inputs'!$B$4*(1+C$5))*(1+C$5))*(1+C$5))*'Risk Inputs'!$B$22))*(1-'Risk Inputs'!$B$21))+(((('Risk Inputs'!$B$4*(1+C$5))*(1+C$5))*(1+C$5))*'Risk Inputs'!$B$22)-(((('Risk Inputs'!$B$4*(1+C$5))*(1+C$5))*(1+C$5))*'Risk Inputs'!$B$23)-((((('Risk Inputs'!$B$4*(1+C$5))*(1+C$5))*(1+C$5))*'Risk Inputs'!$B$24)-((('Risk Inputs'!$B$4*(1+C$5))*(1+C$5))*'Risk Inputs'!$B$24)))/(1+$A8)^3)+((((((((('Risk Inputs'!$B$4*(1+C$5))*(1+C$5))*(1+C$5))*(1+C$5))*'Risk Inputs'!$B$20)-((((('Risk Inputs'!$B$4*(1+C$5))*(1+C$5))*(1+C$5))*(1+C$5))*'Risk Inputs'!$B$22))*(1-'Risk Inputs'!$B$21))+((((('Risk Inputs'!$B$4*(1+C$5))*(1+C$5))*(1+C$5))*(1+C$5))*'Risk Inputs'!$B$22)-((((('Risk Inputs'!$B$4*(1+C$5))*(1+C$5))*(1+C$5))*(1+C$5))*'Risk Inputs'!$B$23)-(((((('Risk Inputs'!$B$4*(1+C$5))*(1+C$5))*(1+C$5))*(1+C$5))*'Risk Inputs'!$B$24)-(((('Risk Inputs'!$B$4*(1+C$5))*(1+C$5))*(1+C$5))*'Risk Inputs'!$B$24)))/(1+$A8)^4)+(((((((((('Risk Inputs'!$B$4*(1+C$5))*(1+C$5))*(1+C$5))*(1+C$5))*(1+C$5))*'Risk Inputs'!$B$20)-(((((('Risk Inputs'!$B$4*(1+C$5))*(1+C$5))*(1+C$5))*(1+C$5))*(1+C$5))*'Risk Inputs'!$B$22))*(1-'Risk Inputs'!$B$21))+(((((('Risk Inputs'!$B$4*(1+C$5))*(1+C$5))*(1+C$5))*(1+C$5))*(1+C$5))*'Risk Inputs'!$B$22)-(((((('Risk Inputs'!$B$4*(1+C$5))*(1+C$5))*(1+C$5))*(1+C$5))*(1+C$5))*'Risk Inputs'!$B$23)-((((((('Risk Inputs'!$B$4*(1+C$5))*(1+C$5))*(1+C$5))*(1+C$5))*(1+C$5))*'Risk Inputs'!$B$24)-((((('Risk Inputs'!$B$4*(1+C$5))*(1+C$5))*(1+C$5))*(1+C$5))*'Risk Inputs'!$B$24)))/(1+$A8)^5)+((((((((((('Risk Inputs'!$B$4*(1+C$5))*(1+C$5))*(1+C$5))*(1+C$5))*(1+C$5))*'Risk Inputs'!$B$20)-(((((('Risk Inputs'!$B$4*(1+C$5))*(1+C$5))*(1+C$5))*(1+C$5))*(1+C$5))*'Risk Inputs'!$B$22))*(1-'Risk Inputs'!$B$21))+(((((('Risk Inputs'!$B$4*(1+C$5))*(1+C$5))*(1+C$5))*(1+C$5))*(1+C$5))*'Risk Inputs'!$B$22)-(((((('Risk Inputs'!$B$4*(1+C$5))*(1+C$5))*(1+C$5))*(1+C$5))*(1+C$5))*'Risk Inputs'!$B$23)-((((((('Risk Inputs'!$B$4*(1+C$5))*(1+C$5))*(1+C$5))*(1+C$5))*(1+C$5))*'Risk Inputs'!$B$24)-((((('Risk Inputs'!$B$4*(1+C$5))*(1+C$5))*(1+C$5))*(1+C$5))*'Risk Inputs'!$B$24)))*(1+'Risk Inputs'!$B$25)/($A8-'Risk Inputs'!$B$25))/(1+$A8)^5))+'Risk Inputs'!$B$13)/'Risk Inputs'!$B$14</f>
        <v>227.94016320154373</v>
      </c>
      <c r="D8" s="10">
        <f>(((((((('Risk Inputs'!$B$4*(1+D$5))*'Risk Inputs'!$B$20)-(('Risk Inputs'!$B$4*(1+D$5))*'Risk Inputs'!$B$22))*(1-'Risk Inputs'!$B$21))+(('Risk Inputs'!$B$4*(1+D$5))*'Risk Inputs'!$B$22)-(('Risk Inputs'!$B$4*(1+D$5))*'Risk Inputs'!$B$23)-((('Risk Inputs'!$B$4*(1+D$5))*'Risk Inputs'!$B$24)-('Risk Inputs'!$B$4*'Risk Inputs'!$B$24)))/(1+$A8)^1)+((((((('Risk Inputs'!$B$4*(1+D$5))*(1+D$5))*'Risk Inputs'!$B$20)-((('Risk Inputs'!$B$4*(1+D$5))*(1+D$5))*'Risk Inputs'!$B$22))*(1-'Risk Inputs'!$B$21))+((('Risk Inputs'!$B$4*(1+D$5))*(1+D$5))*'Risk Inputs'!$B$22)-((('Risk Inputs'!$B$4*(1+D$5))*(1+D$5))*'Risk Inputs'!$B$23)-(((('Risk Inputs'!$B$4*(1+D$5))*(1+D$5))*'Risk Inputs'!$B$24)-(('Risk Inputs'!$B$4*(1+D$5))*'Risk Inputs'!$B$24)))/(1+$A8)^2)+(((((((('Risk Inputs'!$B$4*(1+D$5))*(1+D$5))*(1+D$5))*'Risk Inputs'!$B$20)-(((('Risk Inputs'!$B$4*(1+D$5))*(1+D$5))*(1+D$5))*'Risk Inputs'!$B$22))*(1-'Risk Inputs'!$B$21))+(((('Risk Inputs'!$B$4*(1+D$5))*(1+D$5))*(1+D$5))*'Risk Inputs'!$B$22)-(((('Risk Inputs'!$B$4*(1+D$5))*(1+D$5))*(1+D$5))*'Risk Inputs'!$B$23)-((((('Risk Inputs'!$B$4*(1+D$5))*(1+D$5))*(1+D$5))*'Risk Inputs'!$B$24)-((('Risk Inputs'!$B$4*(1+D$5))*(1+D$5))*'Risk Inputs'!$B$24)))/(1+$A8)^3)+((((((((('Risk Inputs'!$B$4*(1+D$5))*(1+D$5))*(1+D$5))*(1+D$5))*'Risk Inputs'!$B$20)-((((('Risk Inputs'!$B$4*(1+D$5))*(1+D$5))*(1+D$5))*(1+D$5))*'Risk Inputs'!$B$22))*(1-'Risk Inputs'!$B$21))+((((('Risk Inputs'!$B$4*(1+D$5))*(1+D$5))*(1+D$5))*(1+D$5))*'Risk Inputs'!$B$22)-((((('Risk Inputs'!$B$4*(1+D$5))*(1+D$5))*(1+D$5))*(1+D$5))*'Risk Inputs'!$B$23)-(((((('Risk Inputs'!$B$4*(1+D$5))*(1+D$5))*(1+D$5))*(1+D$5))*'Risk Inputs'!$B$24)-(((('Risk Inputs'!$B$4*(1+D$5))*(1+D$5))*(1+D$5))*'Risk Inputs'!$B$24)))/(1+$A8)^4)+(((((((((('Risk Inputs'!$B$4*(1+D$5))*(1+D$5))*(1+D$5))*(1+D$5))*(1+D$5))*'Risk Inputs'!$B$20)-(((((('Risk Inputs'!$B$4*(1+D$5))*(1+D$5))*(1+D$5))*(1+D$5))*(1+D$5))*'Risk Inputs'!$B$22))*(1-'Risk Inputs'!$B$21))+(((((('Risk Inputs'!$B$4*(1+D$5))*(1+D$5))*(1+D$5))*(1+D$5))*(1+D$5))*'Risk Inputs'!$B$22)-(((((('Risk Inputs'!$B$4*(1+D$5))*(1+D$5))*(1+D$5))*(1+D$5))*(1+D$5))*'Risk Inputs'!$B$23)-((((((('Risk Inputs'!$B$4*(1+D$5))*(1+D$5))*(1+D$5))*(1+D$5))*(1+D$5))*'Risk Inputs'!$B$24)-((((('Risk Inputs'!$B$4*(1+D$5))*(1+D$5))*(1+D$5))*(1+D$5))*'Risk Inputs'!$B$24)))/(1+$A8)^5)+((((((((((('Risk Inputs'!$B$4*(1+D$5))*(1+D$5))*(1+D$5))*(1+D$5))*(1+D$5))*'Risk Inputs'!$B$20)-(((((('Risk Inputs'!$B$4*(1+D$5))*(1+D$5))*(1+D$5))*(1+D$5))*(1+D$5))*'Risk Inputs'!$B$22))*(1-'Risk Inputs'!$B$21))+(((((('Risk Inputs'!$B$4*(1+D$5))*(1+D$5))*(1+D$5))*(1+D$5))*(1+D$5))*'Risk Inputs'!$B$22)-(((((('Risk Inputs'!$B$4*(1+D$5))*(1+D$5))*(1+D$5))*(1+D$5))*(1+D$5))*'Risk Inputs'!$B$23)-((((((('Risk Inputs'!$B$4*(1+D$5))*(1+D$5))*(1+D$5))*(1+D$5))*(1+D$5))*'Risk Inputs'!$B$24)-((((('Risk Inputs'!$B$4*(1+D$5))*(1+D$5))*(1+D$5))*(1+D$5))*'Risk Inputs'!$B$24)))*(1+'Risk Inputs'!$B$25)/($A8-'Risk Inputs'!$B$25))/(1+$A8)^5))+'Risk Inputs'!$B$13)/'Risk Inputs'!$B$14</f>
        <v>239.50800352704621</v>
      </c>
      <c r="E8" s="10">
        <f>(((((((('Risk Inputs'!$B$4*(1+E$5))*'Risk Inputs'!$B$20)-(('Risk Inputs'!$B$4*(1+E$5))*'Risk Inputs'!$B$22))*(1-'Risk Inputs'!$B$21))+(('Risk Inputs'!$B$4*(1+E$5))*'Risk Inputs'!$B$22)-(('Risk Inputs'!$B$4*(1+E$5))*'Risk Inputs'!$B$23)-((('Risk Inputs'!$B$4*(1+E$5))*'Risk Inputs'!$B$24)-('Risk Inputs'!$B$4*'Risk Inputs'!$B$24)))/(1+$A8)^1)+((((((('Risk Inputs'!$B$4*(1+E$5))*(1+E$5))*'Risk Inputs'!$B$20)-((('Risk Inputs'!$B$4*(1+E$5))*(1+E$5))*'Risk Inputs'!$B$22))*(1-'Risk Inputs'!$B$21))+((('Risk Inputs'!$B$4*(1+E$5))*(1+E$5))*'Risk Inputs'!$B$22)-((('Risk Inputs'!$B$4*(1+E$5))*(1+E$5))*'Risk Inputs'!$B$23)-(((('Risk Inputs'!$B$4*(1+E$5))*(1+E$5))*'Risk Inputs'!$B$24)-(('Risk Inputs'!$B$4*(1+E$5))*'Risk Inputs'!$B$24)))/(1+$A8)^2)+(((((((('Risk Inputs'!$B$4*(1+E$5))*(1+E$5))*(1+E$5))*'Risk Inputs'!$B$20)-(((('Risk Inputs'!$B$4*(1+E$5))*(1+E$5))*(1+E$5))*'Risk Inputs'!$B$22))*(1-'Risk Inputs'!$B$21))+(((('Risk Inputs'!$B$4*(1+E$5))*(1+E$5))*(1+E$5))*'Risk Inputs'!$B$22)-(((('Risk Inputs'!$B$4*(1+E$5))*(1+E$5))*(1+E$5))*'Risk Inputs'!$B$23)-((((('Risk Inputs'!$B$4*(1+E$5))*(1+E$5))*(1+E$5))*'Risk Inputs'!$B$24)-((('Risk Inputs'!$B$4*(1+E$5))*(1+E$5))*'Risk Inputs'!$B$24)))/(1+$A8)^3)+((((((((('Risk Inputs'!$B$4*(1+E$5))*(1+E$5))*(1+E$5))*(1+E$5))*'Risk Inputs'!$B$20)-((((('Risk Inputs'!$B$4*(1+E$5))*(1+E$5))*(1+E$5))*(1+E$5))*'Risk Inputs'!$B$22))*(1-'Risk Inputs'!$B$21))+((((('Risk Inputs'!$B$4*(1+E$5))*(1+E$5))*(1+E$5))*(1+E$5))*'Risk Inputs'!$B$22)-((((('Risk Inputs'!$B$4*(1+E$5))*(1+E$5))*(1+E$5))*(1+E$5))*'Risk Inputs'!$B$23)-(((((('Risk Inputs'!$B$4*(1+E$5))*(1+E$5))*(1+E$5))*(1+E$5))*'Risk Inputs'!$B$24)-(((('Risk Inputs'!$B$4*(1+E$5))*(1+E$5))*(1+E$5))*'Risk Inputs'!$B$24)))/(1+$A8)^4)+(((((((((('Risk Inputs'!$B$4*(1+E$5))*(1+E$5))*(1+E$5))*(1+E$5))*(1+E$5))*'Risk Inputs'!$B$20)-(((((('Risk Inputs'!$B$4*(1+E$5))*(1+E$5))*(1+E$5))*(1+E$5))*(1+E$5))*'Risk Inputs'!$B$22))*(1-'Risk Inputs'!$B$21))+(((((('Risk Inputs'!$B$4*(1+E$5))*(1+E$5))*(1+E$5))*(1+E$5))*(1+E$5))*'Risk Inputs'!$B$22)-(((((('Risk Inputs'!$B$4*(1+E$5))*(1+E$5))*(1+E$5))*(1+E$5))*(1+E$5))*'Risk Inputs'!$B$23)-((((((('Risk Inputs'!$B$4*(1+E$5))*(1+E$5))*(1+E$5))*(1+E$5))*(1+E$5))*'Risk Inputs'!$B$24)-((((('Risk Inputs'!$B$4*(1+E$5))*(1+E$5))*(1+E$5))*(1+E$5))*'Risk Inputs'!$B$24)))/(1+$A8)^5)+((((((((((('Risk Inputs'!$B$4*(1+E$5))*(1+E$5))*(1+E$5))*(1+E$5))*(1+E$5))*'Risk Inputs'!$B$20)-(((((('Risk Inputs'!$B$4*(1+E$5))*(1+E$5))*(1+E$5))*(1+E$5))*(1+E$5))*'Risk Inputs'!$B$22))*(1-'Risk Inputs'!$B$21))+(((((('Risk Inputs'!$B$4*(1+E$5))*(1+E$5))*(1+E$5))*(1+E$5))*(1+E$5))*'Risk Inputs'!$B$22)-(((((('Risk Inputs'!$B$4*(1+E$5))*(1+E$5))*(1+E$5))*(1+E$5))*(1+E$5))*'Risk Inputs'!$B$23)-((((((('Risk Inputs'!$B$4*(1+E$5))*(1+E$5))*(1+E$5))*(1+E$5))*(1+E$5))*'Risk Inputs'!$B$24)-((((('Risk Inputs'!$B$4*(1+E$5))*(1+E$5))*(1+E$5))*(1+E$5))*'Risk Inputs'!$B$24)))*(1+'Risk Inputs'!$B$25)/($A8-'Risk Inputs'!$B$25))/(1+$A8)^5))+'Risk Inputs'!$B$13)/'Risk Inputs'!$B$14</f>
        <v>251.57627433534509</v>
      </c>
      <c r="F8" s="10">
        <f>(((((((('Risk Inputs'!$B$4*(1+F$5))*'Risk Inputs'!$B$20)-(('Risk Inputs'!$B$4*(1+F$5))*'Risk Inputs'!$B$22))*(1-'Risk Inputs'!$B$21))+(('Risk Inputs'!$B$4*(1+F$5))*'Risk Inputs'!$B$22)-(('Risk Inputs'!$B$4*(1+F$5))*'Risk Inputs'!$B$23)-((('Risk Inputs'!$B$4*(1+F$5))*'Risk Inputs'!$B$24)-('Risk Inputs'!$B$4*'Risk Inputs'!$B$24)))/(1+$A8)^1)+((((((('Risk Inputs'!$B$4*(1+F$5))*(1+F$5))*'Risk Inputs'!$B$20)-((('Risk Inputs'!$B$4*(1+F$5))*(1+F$5))*'Risk Inputs'!$B$22))*(1-'Risk Inputs'!$B$21))+((('Risk Inputs'!$B$4*(1+F$5))*(1+F$5))*'Risk Inputs'!$B$22)-((('Risk Inputs'!$B$4*(1+F$5))*(1+F$5))*'Risk Inputs'!$B$23)-(((('Risk Inputs'!$B$4*(1+F$5))*(1+F$5))*'Risk Inputs'!$B$24)-(('Risk Inputs'!$B$4*(1+F$5))*'Risk Inputs'!$B$24)))/(1+$A8)^2)+(((((((('Risk Inputs'!$B$4*(1+F$5))*(1+F$5))*(1+F$5))*'Risk Inputs'!$B$20)-(((('Risk Inputs'!$B$4*(1+F$5))*(1+F$5))*(1+F$5))*'Risk Inputs'!$B$22))*(1-'Risk Inputs'!$B$21))+(((('Risk Inputs'!$B$4*(1+F$5))*(1+F$5))*(1+F$5))*'Risk Inputs'!$B$22)-(((('Risk Inputs'!$B$4*(1+F$5))*(1+F$5))*(1+F$5))*'Risk Inputs'!$B$23)-((((('Risk Inputs'!$B$4*(1+F$5))*(1+F$5))*(1+F$5))*'Risk Inputs'!$B$24)-((('Risk Inputs'!$B$4*(1+F$5))*(1+F$5))*'Risk Inputs'!$B$24)))/(1+$A8)^3)+((((((((('Risk Inputs'!$B$4*(1+F$5))*(1+F$5))*(1+F$5))*(1+F$5))*'Risk Inputs'!$B$20)-((((('Risk Inputs'!$B$4*(1+F$5))*(1+F$5))*(1+F$5))*(1+F$5))*'Risk Inputs'!$B$22))*(1-'Risk Inputs'!$B$21))+((((('Risk Inputs'!$B$4*(1+F$5))*(1+F$5))*(1+F$5))*(1+F$5))*'Risk Inputs'!$B$22)-((((('Risk Inputs'!$B$4*(1+F$5))*(1+F$5))*(1+F$5))*(1+F$5))*'Risk Inputs'!$B$23)-(((((('Risk Inputs'!$B$4*(1+F$5))*(1+F$5))*(1+F$5))*(1+F$5))*'Risk Inputs'!$B$24)-(((('Risk Inputs'!$B$4*(1+F$5))*(1+F$5))*(1+F$5))*'Risk Inputs'!$B$24)))/(1+$A8)^4)+(((((((((('Risk Inputs'!$B$4*(1+F$5))*(1+F$5))*(1+F$5))*(1+F$5))*(1+F$5))*'Risk Inputs'!$B$20)-(((((('Risk Inputs'!$B$4*(1+F$5))*(1+F$5))*(1+F$5))*(1+F$5))*(1+F$5))*'Risk Inputs'!$B$22))*(1-'Risk Inputs'!$B$21))+(((((('Risk Inputs'!$B$4*(1+F$5))*(1+F$5))*(1+F$5))*(1+F$5))*(1+F$5))*'Risk Inputs'!$B$22)-(((((('Risk Inputs'!$B$4*(1+F$5))*(1+F$5))*(1+F$5))*(1+F$5))*(1+F$5))*'Risk Inputs'!$B$23)-((((((('Risk Inputs'!$B$4*(1+F$5))*(1+F$5))*(1+F$5))*(1+F$5))*(1+F$5))*'Risk Inputs'!$B$24)-((((('Risk Inputs'!$B$4*(1+F$5))*(1+F$5))*(1+F$5))*(1+F$5))*'Risk Inputs'!$B$24)))/(1+$A8)^5)+((((((((((('Risk Inputs'!$B$4*(1+F$5))*(1+F$5))*(1+F$5))*(1+F$5))*(1+F$5))*'Risk Inputs'!$B$20)-(((((('Risk Inputs'!$B$4*(1+F$5))*(1+F$5))*(1+F$5))*(1+F$5))*(1+F$5))*'Risk Inputs'!$B$22))*(1-'Risk Inputs'!$B$21))+(((((('Risk Inputs'!$B$4*(1+F$5))*(1+F$5))*(1+F$5))*(1+F$5))*(1+F$5))*'Risk Inputs'!$B$22)-(((((('Risk Inputs'!$B$4*(1+F$5))*(1+F$5))*(1+F$5))*(1+F$5))*(1+F$5))*'Risk Inputs'!$B$23)-((((((('Risk Inputs'!$B$4*(1+F$5))*(1+F$5))*(1+F$5))*(1+F$5))*(1+F$5))*'Risk Inputs'!$B$24)-((((('Risk Inputs'!$B$4*(1+F$5))*(1+F$5))*(1+F$5))*(1+F$5))*'Risk Inputs'!$B$24)))*(1+'Risk Inputs'!$B$25)/($A8-'Risk Inputs'!$B$25))/(1+$A8)^5))+'Risk Inputs'!$B$13)/'Risk Inputs'!$B$14</f>
        <v>264.16038220628838</v>
      </c>
      <c r="H8" s="8">
        <v>0.11</v>
      </c>
      <c r="I8" s="10">
        <f>(((((((('Risk Inputs'!$B$4*(1+'Risk Inputs'!$B$19))*I$5)-(('Risk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Inputs'!$B$24)))/(1+$H8)^1)+((((((('Risk Inputs'!$B$4*(1+'Risk Inputs'!$B$19))*(1+'Risk Inputs'!$B$19))*I$5)-((('Risk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Inputs'!$B$24)))/(1+$H8)^2)+(((((((('Risk Inputs'!$B$4*(1+'Risk Inputs'!$B$19))*(1+'Risk Inputs'!$B$19))*(1+'Risk Inputs'!$B$19))*I$5)-(((('Risk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Inputs'!$B$24)))/(1+$H8)^3)+((((((((('Risk Inputs'!$B$4*(1+'Risk Inputs'!$B$19))*(1+'Risk Inputs'!$B$19))*(1+'Risk Inputs'!$B$19))*(1+'Risk Inputs'!$B$19))*I$5)-((((('Risk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Inputs'!$B$24)))/(1+$H8)^4)+(((((((((('Risk Inputs'!$B$4*(1+'Risk Inputs'!$B$19))*(1+'Risk Inputs'!$B$19))*(1+'Risk Inputs'!$B$19))*(1+'Risk Inputs'!$B$19))*(1+'Risk Inputs'!$B$19))*I$5)-(((((('Risk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Inputs'!$B$24)))/(1+$H8)^5)+((((((((((('Risk Inputs'!$B$4*(1+'Risk Inputs'!$B$19))*(1+'Risk Inputs'!$B$19))*(1+'Risk Inputs'!$B$19))*(1+'Risk Inputs'!$B$19))*(1+'Risk Inputs'!$B$19))*I$5)-(((((('Risk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Inputs'!$B$25)/($H8-'Risk Inputs'!$B$25))/(1+$H8)^5))+'Risk Inputs'!$B$13)/'Risk Inputs'!$B$14</f>
        <v>181.91115188822357</v>
      </c>
      <c r="J8" s="10">
        <f>(((((((('Risk Inputs'!$B$4*(1+'Risk Inputs'!$B$19))*J$5)-(('Risk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Inputs'!$B$24)))/(1+$H8)^1)+((((((('Risk Inputs'!$B$4*(1+'Risk Inputs'!$B$19))*(1+'Risk Inputs'!$B$19))*J$5)-((('Risk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Inputs'!$B$24)))/(1+$H8)^2)+(((((((('Risk Inputs'!$B$4*(1+'Risk Inputs'!$B$19))*(1+'Risk Inputs'!$B$19))*(1+'Risk Inputs'!$B$19))*J$5)-(((('Risk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Inputs'!$B$24)))/(1+$H8)^3)+((((((((('Risk Inputs'!$B$4*(1+'Risk Inputs'!$B$19))*(1+'Risk Inputs'!$B$19))*(1+'Risk Inputs'!$B$19))*(1+'Risk Inputs'!$B$19))*J$5)-((((('Risk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Inputs'!$B$24)))/(1+$H8)^4)+(((((((((('Risk Inputs'!$B$4*(1+'Risk Inputs'!$B$19))*(1+'Risk Inputs'!$B$19))*(1+'Risk Inputs'!$B$19))*(1+'Risk Inputs'!$B$19))*(1+'Risk Inputs'!$B$19))*J$5)-(((((('Risk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Inputs'!$B$24)))/(1+$H8)^5)+((((((((((('Risk Inputs'!$B$4*(1+'Risk Inputs'!$B$19))*(1+'Risk Inputs'!$B$19))*(1+'Risk Inputs'!$B$19))*(1+'Risk Inputs'!$B$19))*(1+'Risk Inputs'!$B$19))*J$5)-(((((('Risk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Inputs'!$B$25)/($H8-'Risk Inputs'!$B$25))/(1+$H8)^5))+'Risk Inputs'!$B$13)/'Risk Inputs'!$B$14</f>
        <v>210.70957770763493</v>
      </c>
      <c r="K8" s="10">
        <f>(((((((('Risk Inputs'!$B$4*(1+'Risk Inputs'!$B$19))*K$5)-(('Risk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Inputs'!$B$24)))/(1+$H8)^1)+((((((('Risk Inputs'!$B$4*(1+'Risk Inputs'!$B$19))*(1+'Risk Inputs'!$B$19))*K$5)-((('Risk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Inputs'!$B$24)))/(1+$H8)^2)+(((((((('Risk Inputs'!$B$4*(1+'Risk Inputs'!$B$19))*(1+'Risk Inputs'!$B$19))*(1+'Risk Inputs'!$B$19))*K$5)-(((('Risk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Inputs'!$B$24)))/(1+$H8)^3)+((((((((('Risk Inputs'!$B$4*(1+'Risk Inputs'!$B$19))*(1+'Risk Inputs'!$B$19))*(1+'Risk Inputs'!$B$19))*(1+'Risk Inputs'!$B$19))*K$5)-((((('Risk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Inputs'!$B$24)))/(1+$H8)^4)+(((((((((('Risk Inputs'!$B$4*(1+'Risk Inputs'!$B$19))*(1+'Risk Inputs'!$B$19))*(1+'Risk Inputs'!$B$19))*(1+'Risk Inputs'!$B$19))*(1+'Risk Inputs'!$B$19))*K$5)-(((((('Risk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Inputs'!$B$24)))/(1+$H8)^5)+((((((((((('Risk Inputs'!$B$4*(1+'Risk Inputs'!$B$19))*(1+'Risk Inputs'!$B$19))*(1+'Risk Inputs'!$B$19))*(1+'Risk Inputs'!$B$19))*(1+'Risk Inputs'!$B$19))*K$5)-(((((('Risk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Inputs'!$B$25)/($H8-'Risk Inputs'!$B$25))/(1+$H8)^5))+'Risk Inputs'!$B$13)/'Risk Inputs'!$B$14</f>
        <v>239.50800352704621</v>
      </c>
      <c r="L8" s="10">
        <f>(((((((('Risk Inputs'!$B$4*(1+'Risk Inputs'!$B$19))*L$5)-(('Risk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Inputs'!$B$24)))/(1+$H8)^1)+((((((('Risk Inputs'!$B$4*(1+'Risk Inputs'!$B$19))*(1+'Risk Inputs'!$B$19))*L$5)-((('Risk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Inputs'!$B$24)))/(1+$H8)^2)+(((((((('Risk Inputs'!$B$4*(1+'Risk Inputs'!$B$19))*(1+'Risk Inputs'!$B$19))*(1+'Risk Inputs'!$B$19))*L$5)-(((('Risk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Inputs'!$B$24)))/(1+$H8)^3)+((((((((('Risk Inputs'!$B$4*(1+'Risk Inputs'!$B$19))*(1+'Risk Inputs'!$B$19))*(1+'Risk Inputs'!$B$19))*(1+'Risk Inputs'!$B$19))*L$5)-((((('Risk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Inputs'!$B$24)))/(1+$H8)^4)+(((((((((('Risk Inputs'!$B$4*(1+'Risk Inputs'!$B$19))*(1+'Risk Inputs'!$B$19))*(1+'Risk Inputs'!$B$19))*(1+'Risk Inputs'!$B$19))*(1+'Risk Inputs'!$B$19))*L$5)-(((((('Risk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Inputs'!$B$24)))/(1+$H8)^5)+((((((((((('Risk Inputs'!$B$4*(1+'Risk Inputs'!$B$19))*(1+'Risk Inputs'!$B$19))*(1+'Risk Inputs'!$B$19))*(1+'Risk Inputs'!$B$19))*(1+'Risk Inputs'!$B$19))*L$5)-(((((('Risk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Inputs'!$B$25)/($H8-'Risk Inputs'!$B$25))/(1+$H8)^5))+'Risk Inputs'!$B$13)/'Risk Inputs'!$B$14</f>
        <v>268.30642934645755</v>
      </c>
      <c r="M8" s="10">
        <f>(((((((('Risk Inputs'!$B$4*(1+'Risk Inputs'!$B$19))*M$5)-(('Risk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Inputs'!$B$24)))/(1+$H8)^1)+((((((('Risk Inputs'!$B$4*(1+'Risk Inputs'!$B$19))*(1+'Risk Inputs'!$B$19))*M$5)-((('Risk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Inputs'!$B$24)))/(1+$H8)^2)+(((((((('Risk Inputs'!$B$4*(1+'Risk Inputs'!$B$19))*(1+'Risk Inputs'!$B$19))*(1+'Risk Inputs'!$B$19))*M$5)-(((('Risk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Inputs'!$B$24)))/(1+$H8)^3)+((((((((('Risk Inputs'!$B$4*(1+'Risk Inputs'!$B$19))*(1+'Risk Inputs'!$B$19))*(1+'Risk Inputs'!$B$19))*(1+'Risk Inputs'!$B$19))*M$5)-((((('Risk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Inputs'!$B$24)))/(1+$H8)^4)+(((((((((('Risk Inputs'!$B$4*(1+'Risk Inputs'!$B$19))*(1+'Risk Inputs'!$B$19))*(1+'Risk Inputs'!$B$19))*(1+'Risk Inputs'!$B$19))*(1+'Risk Inputs'!$B$19))*M$5)-(((((('Risk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Inputs'!$B$24)))/(1+$H8)^5)+((((((((((('Risk Inputs'!$B$4*(1+'Risk Inputs'!$B$19))*(1+'Risk Inputs'!$B$19))*(1+'Risk Inputs'!$B$19))*(1+'Risk Inputs'!$B$19))*(1+'Risk Inputs'!$B$19))*M$5)-(((((('Risk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Inputs'!$B$25)/($H8-'Risk Inputs'!$B$25))/(1+$H8)^5))+'Risk Inputs'!$B$13)/'Risk Inputs'!$B$14</f>
        <v>297.10485516586874</v>
      </c>
    </row>
    <row r="9" spans="1:15">
      <c r="A9" s="8">
        <v>0.12</v>
      </c>
      <c r="B9" s="10">
        <f>(((((((('Risk Inputs'!$B$4*(1+B$5))*'Risk Inputs'!$B$20)-(('Risk Inputs'!$B$4*(1+B$5))*'Risk Inputs'!$B$22))*(1-'Risk Inputs'!$B$21))+(('Risk Inputs'!$B$4*(1+B$5))*'Risk Inputs'!$B$22)-(('Risk Inputs'!$B$4*(1+B$5))*'Risk Inputs'!$B$23)-((('Risk Inputs'!$B$4*(1+B$5))*'Risk Inputs'!$B$24)-('Risk Inputs'!$B$4*'Risk Inputs'!$B$24)))/(1+$A9)^1)+((((((('Risk Inputs'!$B$4*(1+B$5))*(1+B$5))*'Risk Inputs'!$B$20)-((('Risk Inputs'!$B$4*(1+B$5))*(1+B$5))*'Risk Inputs'!$B$22))*(1-'Risk Inputs'!$B$21))+((('Risk Inputs'!$B$4*(1+B$5))*(1+B$5))*'Risk Inputs'!$B$22)-((('Risk Inputs'!$B$4*(1+B$5))*(1+B$5))*'Risk Inputs'!$B$23)-(((('Risk Inputs'!$B$4*(1+B$5))*(1+B$5))*'Risk Inputs'!$B$24)-(('Risk Inputs'!$B$4*(1+B$5))*'Risk Inputs'!$B$24)))/(1+$A9)^2)+(((((((('Risk Inputs'!$B$4*(1+B$5))*(1+B$5))*(1+B$5))*'Risk Inputs'!$B$20)-(((('Risk Inputs'!$B$4*(1+B$5))*(1+B$5))*(1+B$5))*'Risk Inputs'!$B$22))*(1-'Risk Inputs'!$B$21))+(((('Risk Inputs'!$B$4*(1+B$5))*(1+B$5))*(1+B$5))*'Risk Inputs'!$B$22)-(((('Risk Inputs'!$B$4*(1+B$5))*(1+B$5))*(1+B$5))*'Risk Inputs'!$B$23)-((((('Risk Inputs'!$B$4*(1+B$5))*(1+B$5))*(1+B$5))*'Risk Inputs'!$B$24)-((('Risk Inputs'!$B$4*(1+B$5))*(1+B$5))*'Risk Inputs'!$B$24)))/(1+$A9)^3)+((((((((('Risk Inputs'!$B$4*(1+B$5))*(1+B$5))*(1+B$5))*(1+B$5))*'Risk Inputs'!$B$20)-((((('Risk Inputs'!$B$4*(1+B$5))*(1+B$5))*(1+B$5))*(1+B$5))*'Risk Inputs'!$B$22))*(1-'Risk Inputs'!$B$21))+((((('Risk Inputs'!$B$4*(1+B$5))*(1+B$5))*(1+B$5))*(1+B$5))*'Risk Inputs'!$B$22)-((((('Risk Inputs'!$B$4*(1+B$5))*(1+B$5))*(1+B$5))*(1+B$5))*'Risk Inputs'!$B$23)-(((((('Risk Inputs'!$B$4*(1+B$5))*(1+B$5))*(1+B$5))*(1+B$5))*'Risk Inputs'!$B$24)-(((('Risk Inputs'!$B$4*(1+B$5))*(1+B$5))*(1+B$5))*'Risk Inputs'!$B$24)))/(1+$A9)^4)+(((((((((('Risk Inputs'!$B$4*(1+B$5))*(1+B$5))*(1+B$5))*(1+B$5))*(1+B$5))*'Risk Inputs'!$B$20)-(((((('Risk Inputs'!$B$4*(1+B$5))*(1+B$5))*(1+B$5))*(1+B$5))*(1+B$5))*'Risk Inputs'!$B$22))*(1-'Risk Inputs'!$B$21))+(((((('Risk Inputs'!$B$4*(1+B$5))*(1+B$5))*(1+B$5))*(1+B$5))*(1+B$5))*'Risk Inputs'!$B$22)-(((((('Risk Inputs'!$B$4*(1+B$5))*(1+B$5))*(1+B$5))*(1+B$5))*(1+B$5))*'Risk Inputs'!$B$23)-((((((('Risk Inputs'!$B$4*(1+B$5))*(1+B$5))*(1+B$5))*(1+B$5))*(1+B$5))*'Risk Inputs'!$B$24)-((((('Risk Inputs'!$B$4*(1+B$5))*(1+B$5))*(1+B$5))*(1+B$5))*'Risk Inputs'!$B$24)))/(1+$A9)^5)+((((((((((('Risk Inputs'!$B$4*(1+B$5))*(1+B$5))*(1+B$5))*(1+B$5))*(1+B$5))*'Risk Inputs'!$B$20)-(((((('Risk Inputs'!$B$4*(1+B$5))*(1+B$5))*(1+B$5))*(1+B$5))*(1+B$5))*'Risk Inputs'!$B$22))*(1-'Risk Inputs'!$B$21))+(((((('Risk Inputs'!$B$4*(1+B$5))*(1+B$5))*(1+B$5))*(1+B$5))*(1+B$5))*'Risk Inputs'!$B$22)-(((((('Risk Inputs'!$B$4*(1+B$5))*(1+B$5))*(1+B$5))*(1+B$5))*(1+B$5))*'Risk Inputs'!$B$23)-((((((('Risk Inputs'!$B$4*(1+B$5))*(1+B$5))*(1+B$5))*(1+B$5))*(1+B$5))*'Risk Inputs'!$B$24)-((((('Risk Inputs'!$B$4*(1+B$5))*(1+B$5))*(1+B$5))*(1+B$5))*'Risk Inputs'!$B$24)))*(1+'Risk Inputs'!$B$25)/($A9-'Risk Inputs'!$B$25))/(1+$A9)^5))+'Risk Inputs'!$B$13)/'Risk Inputs'!$B$14</f>
        <v>190.4576222826087</v>
      </c>
      <c r="C9" s="10">
        <f>(((((((('Risk Inputs'!$B$4*(1+C$5))*'Risk Inputs'!$B$20)-(('Risk Inputs'!$B$4*(1+C$5))*'Risk Inputs'!$B$22))*(1-'Risk Inputs'!$B$21))+(('Risk Inputs'!$B$4*(1+C$5))*'Risk Inputs'!$B$22)-(('Risk Inputs'!$B$4*(1+C$5))*'Risk Inputs'!$B$23)-((('Risk Inputs'!$B$4*(1+C$5))*'Risk Inputs'!$B$24)-('Risk Inputs'!$B$4*'Risk Inputs'!$B$24)))/(1+$A9)^1)+((((((('Risk Inputs'!$B$4*(1+C$5))*(1+C$5))*'Risk Inputs'!$B$20)-((('Risk Inputs'!$B$4*(1+C$5))*(1+C$5))*'Risk Inputs'!$B$22))*(1-'Risk Inputs'!$B$21))+((('Risk Inputs'!$B$4*(1+C$5))*(1+C$5))*'Risk Inputs'!$B$22)-((('Risk Inputs'!$B$4*(1+C$5))*(1+C$5))*'Risk Inputs'!$B$23)-(((('Risk Inputs'!$B$4*(1+C$5))*(1+C$5))*'Risk Inputs'!$B$24)-(('Risk Inputs'!$B$4*(1+C$5))*'Risk Inputs'!$B$24)))/(1+$A9)^2)+(((((((('Risk Inputs'!$B$4*(1+C$5))*(1+C$5))*(1+C$5))*'Risk Inputs'!$B$20)-(((('Risk Inputs'!$B$4*(1+C$5))*(1+C$5))*(1+C$5))*'Risk Inputs'!$B$22))*(1-'Risk Inputs'!$B$21))+(((('Risk Inputs'!$B$4*(1+C$5))*(1+C$5))*(1+C$5))*'Risk Inputs'!$B$22)-(((('Risk Inputs'!$B$4*(1+C$5))*(1+C$5))*(1+C$5))*'Risk Inputs'!$B$23)-((((('Risk Inputs'!$B$4*(1+C$5))*(1+C$5))*(1+C$5))*'Risk Inputs'!$B$24)-((('Risk Inputs'!$B$4*(1+C$5))*(1+C$5))*'Risk Inputs'!$B$24)))/(1+$A9)^3)+((((((((('Risk Inputs'!$B$4*(1+C$5))*(1+C$5))*(1+C$5))*(1+C$5))*'Risk Inputs'!$B$20)-((((('Risk Inputs'!$B$4*(1+C$5))*(1+C$5))*(1+C$5))*(1+C$5))*'Risk Inputs'!$B$22))*(1-'Risk Inputs'!$B$21))+((((('Risk Inputs'!$B$4*(1+C$5))*(1+C$5))*(1+C$5))*(1+C$5))*'Risk Inputs'!$B$22)-((((('Risk Inputs'!$B$4*(1+C$5))*(1+C$5))*(1+C$5))*(1+C$5))*'Risk Inputs'!$B$23)-(((((('Risk Inputs'!$B$4*(1+C$5))*(1+C$5))*(1+C$5))*(1+C$5))*'Risk Inputs'!$B$24)-(((('Risk Inputs'!$B$4*(1+C$5))*(1+C$5))*(1+C$5))*'Risk Inputs'!$B$24)))/(1+$A9)^4)+(((((((((('Risk Inputs'!$B$4*(1+C$5))*(1+C$5))*(1+C$5))*(1+C$5))*(1+C$5))*'Risk Inputs'!$B$20)-(((((('Risk Inputs'!$B$4*(1+C$5))*(1+C$5))*(1+C$5))*(1+C$5))*(1+C$5))*'Risk Inputs'!$B$22))*(1-'Risk Inputs'!$B$21))+(((((('Risk Inputs'!$B$4*(1+C$5))*(1+C$5))*(1+C$5))*(1+C$5))*(1+C$5))*'Risk Inputs'!$B$22)-(((((('Risk Inputs'!$B$4*(1+C$5))*(1+C$5))*(1+C$5))*(1+C$5))*(1+C$5))*'Risk Inputs'!$B$23)-((((((('Risk Inputs'!$B$4*(1+C$5))*(1+C$5))*(1+C$5))*(1+C$5))*(1+C$5))*'Risk Inputs'!$B$24)-((((('Risk Inputs'!$B$4*(1+C$5))*(1+C$5))*(1+C$5))*(1+C$5))*'Risk Inputs'!$B$24)))/(1+$A9)^5)+((((((((((('Risk Inputs'!$B$4*(1+C$5))*(1+C$5))*(1+C$5))*(1+C$5))*(1+C$5))*'Risk Inputs'!$B$20)-(((((('Risk Inputs'!$B$4*(1+C$5))*(1+C$5))*(1+C$5))*(1+C$5))*(1+C$5))*'Risk Inputs'!$B$22))*(1-'Risk Inputs'!$B$21))+(((((('Risk Inputs'!$B$4*(1+C$5))*(1+C$5))*(1+C$5))*(1+C$5))*(1+C$5))*'Risk Inputs'!$B$22)-(((((('Risk Inputs'!$B$4*(1+C$5))*(1+C$5))*(1+C$5))*(1+C$5))*(1+C$5))*'Risk Inputs'!$B$23)-((((((('Risk Inputs'!$B$4*(1+C$5))*(1+C$5))*(1+C$5))*(1+C$5))*(1+C$5))*'Risk Inputs'!$B$24)-((((('Risk Inputs'!$B$4*(1+C$5))*(1+C$5))*(1+C$5))*(1+C$5))*'Risk Inputs'!$B$24)))*(1+'Risk Inputs'!$B$25)/($A9-'Risk Inputs'!$B$25))/(1+$A9)^5))+'Risk Inputs'!$B$13)/'Risk Inputs'!$B$14</f>
        <v>199.95446451996003</v>
      </c>
      <c r="D9" s="10">
        <f>(((((((('Risk Inputs'!$B$4*(1+D$5))*'Risk Inputs'!$B$20)-(('Risk Inputs'!$B$4*(1+D$5))*'Risk Inputs'!$B$22))*(1-'Risk Inputs'!$B$21))+(('Risk Inputs'!$B$4*(1+D$5))*'Risk Inputs'!$B$22)-(('Risk Inputs'!$B$4*(1+D$5))*'Risk Inputs'!$B$23)-((('Risk Inputs'!$B$4*(1+D$5))*'Risk Inputs'!$B$24)-('Risk Inputs'!$B$4*'Risk Inputs'!$B$24)))/(1+$A9)^1)+((((((('Risk Inputs'!$B$4*(1+D$5))*(1+D$5))*'Risk Inputs'!$B$20)-((('Risk Inputs'!$B$4*(1+D$5))*(1+D$5))*'Risk Inputs'!$B$22))*(1-'Risk Inputs'!$B$21))+((('Risk Inputs'!$B$4*(1+D$5))*(1+D$5))*'Risk Inputs'!$B$22)-((('Risk Inputs'!$B$4*(1+D$5))*(1+D$5))*'Risk Inputs'!$B$23)-(((('Risk Inputs'!$B$4*(1+D$5))*(1+D$5))*'Risk Inputs'!$B$24)-(('Risk Inputs'!$B$4*(1+D$5))*'Risk Inputs'!$B$24)))/(1+$A9)^2)+(((((((('Risk Inputs'!$B$4*(1+D$5))*(1+D$5))*(1+D$5))*'Risk Inputs'!$B$20)-(((('Risk Inputs'!$B$4*(1+D$5))*(1+D$5))*(1+D$5))*'Risk Inputs'!$B$22))*(1-'Risk Inputs'!$B$21))+(((('Risk Inputs'!$B$4*(1+D$5))*(1+D$5))*(1+D$5))*'Risk Inputs'!$B$22)-(((('Risk Inputs'!$B$4*(1+D$5))*(1+D$5))*(1+D$5))*'Risk Inputs'!$B$23)-((((('Risk Inputs'!$B$4*(1+D$5))*(1+D$5))*(1+D$5))*'Risk Inputs'!$B$24)-((('Risk Inputs'!$B$4*(1+D$5))*(1+D$5))*'Risk Inputs'!$B$24)))/(1+$A9)^3)+((((((((('Risk Inputs'!$B$4*(1+D$5))*(1+D$5))*(1+D$5))*(1+D$5))*'Risk Inputs'!$B$20)-((((('Risk Inputs'!$B$4*(1+D$5))*(1+D$5))*(1+D$5))*(1+D$5))*'Risk Inputs'!$B$22))*(1-'Risk Inputs'!$B$21))+((((('Risk Inputs'!$B$4*(1+D$5))*(1+D$5))*(1+D$5))*(1+D$5))*'Risk Inputs'!$B$22)-((((('Risk Inputs'!$B$4*(1+D$5))*(1+D$5))*(1+D$5))*(1+D$5))*'Risk Inputs'!$B$23)-(((((('Risk Inputs'!$B$4*(1+D$5))*(1+D$5))*(1+D$5))*(1+D$5))*'Risk Inputs'!$B$24)-(((('Risk Inputs'!$B$4*(1+D$5))*(1+D$5))*(1+D$5))*'Risk Inputs'!$B$24)))/(1+$A9)^4)+(((((((((('Risk Inputs'!$B$4*(1+D$5))*(1+D$5))*(1+D$5))*(1+D$5))*(1+D$5))*'Risk Inputs'!$B$20)-(((((('Risk Inputs'!$B$4*(1+D$5))*(1+D$5))*(1+D$5))*(1+D$5))*(1+D$5))*'Risk Inputs'!$B$22))*(1-'Risk Inputs'!$B$21))+(((((('Risk Inputs'!$B$4*(1+D$5))*(1+D$5))*(1+D$5))*(1+D$5))*(1+D$5))*'Risk Inputs'!$B$22)-(((((('Risk Inputs'!$B$4*(1+D$5))*(1+D$5))*(1+D$5))*(1+D$5))*(1+D$5))*'Risk Inputs'!$B$23)-((((((('Risk Inputs'!$B$4*(1+D$5))*(1+D$5))*(1+D$5))*(1+D$5))*(1+D$5))*'Risk Inputs'!$B$24)-((((('Risk Inputs'!$B$4*(1+D$5))*(1+D$5))*(1+D$5))*(1+D$5))*'Risk Inputs'!$B$24)))/(1+$A9)^5)+((((((((((('Risk Inputs'!$B$4*(1+D$5))*(1+D$5))*(1+D$5))*(1+D$5))*(1+D$5))*'Risk Inputs'!$B$20)-(((((('Risk Inputs'!$B$4*(1+D$5))*(1+D$5))*(1+D$5))*(1+D$5))*(1+D$5))*'Risk Inputs'!$B$22))*(1-'Risk Inputs'!$B$21))+(((((('Risk Inputs'!$B$4*(1+D$5))*(1+D$5))*(1+D$5))*(1+D$5))*(1+D$5))*'Risk Inputs'!$B$22)-(((((('Risk Inputs'!$B$4*(1+D$5))*(1+D$5))*(1+D$5))*(1+D$5))*(1+D$5))*'Risk Inputs'!$B$23)-((((((('Risk Inputs'!$B$4*(1+D$5))*(1+D$5))*(1+D$5))*(1+D$5))*(1+D$5))*'Risk Inputs'!$B$24)-((((('Risk Inputs'!$B$4*(1+D$5))*(1+D$5))*(1+D$5))*(1+D$5))*'Risk Inputs'!$B$24)))*(1+'Risk Inputs'!$B$25)/($A9-'Risk Inputs'!$B$25))/(1+$A9)^5))+'Risk Inputs'!$B$13)/'Risk Inputs'!$B$14</f>
        <v>209.86385020086627</v>
      </c>
      <c r="E9" s="10">
        <f>(((((((('Risk Inputs'!$B$4*(1+E$5))*'Risk Inputs'!$B$20)-(('Risk Inputs'!$B$4*(1+E$5))*'Risk Inputs'!$B$22))*(1-'Risk Inputs'!$B$21))+(('Risk Inputs'!$B$4*(1+E$5))*'Risk Inputs'!$B$22)-(('Risk Inputs'!$B$4*(1+E$5))*'Risk Inputs'!$B$23)-((('Risk Inputs'!$B$4*(1+E$5))*'Risk Inputs'!$B$24)-('Risk Inputs'!$B$4*'Risk Inputs'!$B$24)))/(1+$A9)^1)+((((((('Risk Inputs'!$B$4*(1+E$5))*(1+E$5))*'Risk Inputs'!$B$20)-((('Risk Inputs'!$B$4*(1+E$5))*(1+E$5))*'Risk Inputs'!$B$22))*(1-'Risk Inputs'!$B$21))+((('Risk Inputs'!$B$4*(1+E$5))*(1+E$5))*'Risk Inputs'!$B$22)-((('Risk Inputs'!$B$4*(1+E$5))*(1+E$5))*'Risk Inputs'!$B$23)-(((('Risk Inputs'!$B$4*(1+E$5))*(1+E$5))*'Risk Inputs'!$B$24)-(('Risk Inputs'!$B$4*(1+E$5))*'Risk Inputs'!$B$24)))/(1+$A9)^2)+(((((((('Risk Inputs'!$B$4*(1+E$5))*(1+E$5))*(1+E$5))*'Risk Inputs'!$B$20)-(((('Risk Inputs'!$B$4*(1+E$5))*(1+E$5))*(1+E$5))*'Risk Inputs'!$B$22))*(1-'Risk Inputs'!$B$21))+(((('Risk Inputs'!$B$4*(1+E$5))*(1+E$5))*(1+E$5))*'Risk Inputs'!$B$22)-(((('Risk Inputs'!$B$4*(1+E$5))*(1+E$5))*(1+E$5))*'Risk Inputs'!$B$23)-((((('Risk Inputs'!$B$4*(1+E$5))*(1+E$5))*(1+E$5))*'Risk Inputs'!$B$24)-((('Risk Inputs'!$B$4*(1+E$5))*(1+E$5))*'Risk Inputs'!$B$24)))/(1+$A9)^3)+((((((((('Risk Inputs'!$B$4*(1+E$5))*(1+E$5))*(1+E$5))*(1+E$5))*'Risk Inputs'!$B$20)-((((('Risk Inputs'!$B$4*(1+E$5))*(1+E$5))*(1+E$5))*(1+E$5))*'Risk Inputs'!$B$22))*(1-'Risk Inputs'!$B$21))+((((('Risk Inputs'!$B$4*(1+E$5))*(1+E$5))*(1+E$5))*(1+E$5))*'Risk Inputs'!$B$22)-((((('Risk Inputs'!$B$4*(1+E$5))*(1+E$5))*(1+E$5))*(1+E$5))*'Risk Inputs'!$B$23)-(((((('Risk Inputs'!$B$4*(1+E$5))*(1+E$5))*(1+E$5))*(1+E$5))*'Risk Inputs'!$B$24)-(((('Risk Inputs'!$B$4*(1+E$5))*(1+E$5))*(1+E$5))*'Risk Inputs'!$B$24)))/(1+$A9)^4)+(((((((((('Risk Inputs'!$B$4*(1+E$5))*(1+E$5))*(1+E$5))*(1+E$5))*(1+E$5))*'Risk Inputs'!$B$20)-(((((('Risk Inputs'!$B$4*(1+E$5))*(1+E$5))*(1+E$5))*(1+E$5))*(1+E$5))*'Risk Inputs'!$B$22))*(1-'Risk Inputs'!$B$21))+(((((('Risk Inputs'!$B$4*(1+E$5))*(1+E$5))*(1+E$5))*(1+E$5))*(1+E$5))*'Risk Inputs'!$B$22)-(((((('Risk Inputs'!$B$4*(1+E$5))*(1+E$5))*(1+E$5))*(1+E$5))*(1+E$5))*'Risk Inputs'!$B$23)-((((((('Risk Inputs'!$B$4*(1+E$5))*(1+E$5))*(1+E$5))*(1+E$5))*(1+E$5))*'Risk Inputs'!$B$24)-((((('Risk Inputs'!$B$4*(1+E$5))*(1+E$5))*(1+E$5))*(1+E$5))*'Risk Inputs'!$B$24)))/(1+$A9)^5)+((((((((((('Risk Inputs'!$B$4*(1+E$5))*(1+E$5))*(1+E$5))*(1+E$5))*(1+E$5))*'Risk Inputs'!$B$20)-(((((('Risk Inputs'!$B$4*(1+E$5))*(1+E$5))*(1+E$5))*(1+E$5))*(1+E$5))*'Risk Inputs'!$B$22))*(1-'Risk Inputs'!$B$21))+(((((('Risk Inputs'!$B$4*(1+E$5))*(1+E$5))*(1+E$5))*(1+E$5))*(1+E$5))*'Risk Inputs'!$B$22)-(((((('Risk Inputs'!$B$4*(1+E$5))*(1+E$5))*(1+E$5))*(1+E$5))*(1+E$5))*'Risk Inputs'!$B$23)-((((((('Risk Inputs'!$B$4*(1+E$5))*(1+E$5))*(1+E$5))*(1+E$5))*(1+E$5))*'Risk Inputs'!$B$24)-((((('Risk Inputs'!$B$4*(1+E$5))*(1+E$5))*(1+E$5))*(1+E$5))*'Risk Inputs'!$B$24)))*(1+'Risk Inputs'!$B$25)/($A9-'Risk Inputs'!$B$25))/(1+$A9)^5))+'Risk Inputs'!$B$13)/'Risk Inputs'!$B$14</f>
        <v>220.19858993205719</v>
      </c>
      <c r="F9" s="10">
        <f>(((((((('Risk Inputs'!$B$4*(1+F$5))*'Risk Inputs'!$B$20)-(('Risk Inputs'!$B$4*(1+F$5))*'Risk Inputs'!$B$22))*(1-'Risk Inputs'!$B$21))+(('Risk Inputs'!$B$4*(1+F$5))*'Risk Inputs'!$B$22)-(('Risk Inputs'!$B$4*(1+F$5))*'Risk Inputs'!$B$23)-((('Risk Inputs'!$B$4*(1+F$5))*'Risk Inputs'!$B$24)-('Risk Inputs'!$B$4*'Risk Inputs'!$B$24)))/(1+$A9)^1)+((((((('Risk Inputs'!$B$4*(1+F$5))*(1+F$5))*'Risk Inputs'!$B$20)-((('Risk Inputs'!$B$4*(1+F$5))*(1+F$5))*'Risk Inputs'!$B$22))*(1-'Risk Inputs'!$B$21))+((('Risk Inputs'!$B$4*(1+F$5))*(1+F$5))*'Risk Inputs'!$B$22)-((('Risk Inputs'!$B$4*(1+F$5))*(1+F$5))*'Risk Inputs'!$B$23)-(((('Risk Inputs'!$B$4*(1+F$5))*(1+F$5))*'Risk Inputs'!$B$24)-(('Risk Inputs'!$B$4*(1+F$5))*'Risk Inputs'!$B$24)))/(1+$A9)^2)+(((((((('Risk Inputs'!$B$4*(1+F$5))*(1+F$5))*(1+F$5))*'Risk Inputs'!$B$20)-(((('Risk Inputs'!$B$4*(1+F$5))*(1+F$5))*(1+F$5))*'Risk Inputs'!$B$22))*(1-'Risk Inputs'!$B$21))+(((('Risk Inputs'!$B$4*(1+F$5))*(1+F$5))*(1+F$5))*'Risk Inputs'!$B$22)-(((('Risk Inputs'!$B$4*(1+F$5))*(1+F$5))*(1+F$5))*'Risk Inputs'!$B$23)-((((('Risk Inputs'!$B$4*(1+F$5))*(1+F$5))*(1+F$5))*'Risk Inputs'!$B$24)-((('Risk Inputs'!$B$4*(1+F$5))*(1+F$5))*'Risk Inputs'!$B$24)))/(1+$A9)^3)+((((((((('Risk Inputs'!$B$4*(1+F$5))*(1+F$5))*(1+F$5))*(1+F$5))*'Risk Inputs'!$B$20)-((((('Risk Inputs'!$B$4*(1+F$5))*(1+F$5))*(1+F$5))*(1+F$5))*'Risk Inputs'!$B$22))*(1-'Risk Inputs'!$B$21))+((((('Risk Inputs'!$B$4*(1+F$5))*(1+F$5))*(1+F$5))*(1+F$5))*'Risk Inputs'!$B$22)-((((('Risk Inputs'!$B$4*(1+F$5))*(1+F$5))*(1+F$5))*(1+F$5))*'Risk Inputs'!$B$23)-(((((('Risk Inputs'!$B$4*(1+F$5))*(1+F$5))*(1+F$5))*(1+F$5))*'Risk Inputs'!$B$24)-(((('Risk Inputs'!$B$4*(1+F$5))*(1+F$5))*(1+F$5))*'Risk Inputs'!$B$24)))/(1+$A9)^4)+(((((((((('Risk Inputs'!$B$4*(1+F$5))*(1+F$5))*(1+F$5))*(1+F$5))*(1+F$5))*'Risk Inputs'!$B$20)-(((((('Risk Inputs'!$B$4*(1+F$5))*(1+F$5))*(1+F$5))*(1+F$5))*(1+F$5))*'Risk Inputs'!$B$22))*(1-'Risk Inputs'!$B$21))+(((((('Risk Inputs'!$B$4*(1+F$5))*(1+F$5))*(1+F$5))*(1+F$5))*(1+F$5))*'Risk Inputs'!$B$22)-(((((('Risk Inputs'!$B$4*(1+F$5))*(1+F$5))*(1+F$5))*(1+F$5))*(1+F$5))*'Risk Inputs'!$B$23)-((((((('Risk Inputs'!$B$4*(1+F$5))*(1+F$5))*(1+F$5))*(1+F$5))*(1+F$5))*'Risk Inputs'!$B$24)-((((('Risk Inputs'!$B$4*(1+F$5))*(1+F$5))*(1+F$5))*(1+F$5))*'Risk Inputs'!$B$24)))/(1+$A9)^5)+((((((((((('Risk Inputs'!$B$4*(1+F$5))*(1+F$5))*(1+F$5))*(1+F$5))*(1+F$5))*'Risk Inputs'!$B$20)-(((((('Risk Inputs'!$B$4*(1+F$5))*(1+F$5))*(1+F$5))*(1+F$5))*(1+F$5))*'Risk Inputs'!$B$22))*(1-'Risk Inputs'!$B$21))+(((((('Risk Inputs'!$B$4*(1+F$5))*(1+F$5))*(1+F$5))*(1+F$5))*(1+F$5))*'Risk Inputs'!$B$22)-(((((('Risk Inputs'!$B$4*(1+F$5))*(1+F$5))*(1+F$5))*(1+F$5))*(1+F$5))*'Risk Inputs'!$B$23)-((((((('Risk Inputs'!$B$4*(1+F$5))*(1+F$5))*(1+F$5))*(1+F$5))*(1+F$5))*'Risk Inputs'!$B$24)-((((('Risk Inputs'!$B$4*(1+F$5))*(1+F$5))*(1+F$5))*(1+F$5))*'Risk Inputs'!$B$24)))*(1+'Risk Inputs'!$B$25)/($A9-'Risk Inputs'!$B$25))/(1+$A9)^5))+'Risk Inputs'!$B$13)/'Risk Inputs'!$B$14</f>
        <v>230.97172873852176</v>
      </c>
      <c r="H9" s="8">
        <v>0.12</v>
      </c>
      <c r="I9" s="10">
        <f>(((((((('Risk Inputs'!$B$4*(1+'Risk Inputs'!$B$19))*I$5)-(('Risk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Inputs'!$B$24)))/(1+$H9)^1)+((((((('Risk Inputs'!$B$4*(1+'Risk Inputs'!$B$19))*(1+'Risk Inputs'!$B$19))*I$5)-((('Risk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Inputs'!$B$24)))/(1+$H9)^2)+(((((((('Risk Inputs'!$B$4*(1+'Risk Inputs'!$B$19))*(1+'Risk Inputs'!$B$19))*(1+'Risk Inputs'!$B$19))*I$5)-(((('Risk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Inputs'!$B$24)))/(1+$H9)^3)+((((((((('Risk Inputs'!$B$4*(1+'Risk Inputs'!$B$19))*(1+'Risk Inputs'!$B$19))*(1+'Risk Inputs'!$B$19))*(1+'Risk Inputs'!$B$19))*I$5)-((((('Risk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Inputs'!$B$24)))/(1+$H9)^4)+(((((((((('Risk Inputs'!$B$4*(1+'Risk Inputs'!$B$19))*(1+'Risk Inputs'!$B$19))*(1+'Risk Inputs'!$B$19))*(1+'Risk Inputs'!$B$19))*(1+'Risk Inputs'!$B$19))*I$5)-(((((('Risk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Inputs'!$B$24)))/(1+$H9)^5)+((((((((((('Risk Inputs'!$B$4*(1+'Risk Inputs'!$B$19))*(1+'Risk Inputs'!$B$19))*(1+'Risk Inputs'!$B$19))*(1+'Risk Inputs'!$B$19))*(1+'Risk Inputs'!$B$19))*I$5)-(((((('Risk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Inputs'!$B$25)/($H9-'Risk Inputs'!$B$25))/(1+$H9)^5))+'Risk Inputs'!$B$13)/'Risk Inputs'!$B$14</f>
        <v>159.56829006645842</v>
      </c>
      <c r="J9" s="10">
        <f>(((((((('Risk Inputs'!$B$4*(1+'Risk Inputs'!$B$19))*J$5)-(('Risk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Inputs'!$B$24)))/(1+$H9)^1)+((((((('Risk Inputs'!$B$4*(1+'Risk Inputs'!$B$19))*(1+'Risk Inputs'!$B$19))*J$5)-((('Risk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Inputs'!$B$24)))/(1+$H9)^2)+(((((((('Risk Inputs'!$B$4*(1+'Risk Inputs'!$B$19))*(1+'Risk Inputs'!$B$19))*(1+'Risk Inputs'!$B$19))*J$5)-(((('Risk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Inputs'!$B$24)))/(1+$H9)^3)+((((((((('Risk Inputs'!$B$4*(1+'Risk Inputs'!$B$19))*(1+'Risk Inputs'!$B$19))*(1+'Risk Inputs'!$B$19))*(1+'Risk Inputs'!$B$19))*J$5)-((((('Risk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Inputs'!$B$24)))/(1+$H9)^4)+(((((((((('Risk Inputs'!$B$4*(1+'Risk Inputs'!$B$19))*(1+'Risk Inputs'!$B$19))*(1+'Risk Inputs'!$B$19))*(1+'Risk Inputs'!$B$19))*(1+'Risk Inputs'!$B$19))*J$5)-(((((('Risk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Inputs'!$B$24)))/(1+$H9)^5)+((((((((((('Risk Inputs'!$B$4*(1+'Risk Inputs'!$B$19))*(1+'Risk Inputs'!$B$19))*(1+'Risk Inputs'!$B$19))*(1+'Risk Inputs'!$B$19))*(1+'Risk Inputs'!$B$19))*J$5)-(((((('Risk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Inputs'!$B$25)/($H9-'Risk Inputs'!$B$25))/(1+$H9)^5))+'Risk Inputs'!$B$13)/'Risk Inputs'!$B$14</f>
        <v>184.71607013366236</v>
      </c>
      <c r="K9" s="10">
        <f>(((((((('Risk Inputs'!$B$4*(1+'Risk Inputs'!$B$19))*K$5)-(('Risk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Inputs'!$B$24)))/(1+$H9)^1)+((((((('Risk Inputs'!$B$4*(1+'Risk Inputs'!$B$19))*(1+'Risk Inputs'!$B$19))*K$5)-((('Risk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Inputs'!$B$24)))/(1+$H9)^2)+(((((((('Risk Inputs'!$B$4*(1+'Risk Inputs'!$B$19))*(1+'Risk Inputs'!$B$19))*(1+'Risk Inputs'!$B$19))*K$5)-(((('Risk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Inputs'!$B$24)))/(1+$H9)^3)+((((((((('Risk Inputs'!$B$4*(1+'Risk Inputs'!$B$19))*(1+'Risk Inputs'!$B$19))*(1+'Risk Inputs'!$B$19))*(1+'Risk Inputs'!$B$19))*K$5)-((((('Risk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Inputs'!$B$24)))/(1+$H9)^4)+(((((((((('Risk Inputs'!$B$4*(1+'Risk Inputs'!$B$19))*(1+'Risk Inputs'!$B$19))*(1+'Risk Inputs'!$B$19))*(1+'Risk Inputs'!$B$19))*(1+'Risk Inputs'!$B$19))*K$5)-(((((('Risk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Inputs'!$B$24)))/(1+$H9)^5)+((((((((((('Risk Inputs'!$B$4*(1+'Risk Inputs'!$B$19))*(1+'Risk Inputs'!$B$19))*(1+'Risk Inputs'!$B$19))*(1+'Risk Inputs'!$B$19))*(1+'Risk Inputs'!$B$19))*K$5)-(((((('Risk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Inputs'!$B$25)/($H9-'Risk Inputs'!$B$25))/(1+$H9)^5))+'Risk Inputs'!$B$13)/'Risk Inputs'!$B$14</f>
        <v>209.86385020086627</v>
      </c>
      <c r="L9" s="10">
        <f>(((((((('Risk Inputs'!$B$4*(1+'Risk Inputs'!$B$19))*L$5)-(('Risk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Inputs'!$B$24)))/(1+$H9)^1)+((((((('Risk Inputs'!$B$4*(1+'Risk Inputs'!$B$19))*(1+'Risk Inputs'!$B$19))*L$5)-((('Risk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Inputs'!$B$24)))/(1+$H9)^2)+(((((((('Risk Inputs'!$B$4*(1+'Risk Inputs'!$B$19))*(1+'Risk Inputs'!$B$19))*(1+'Risk Inputs'!$B$19))*L$5)-(((('Risk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Inputs'!$B$24)))/(1+$H9)^3)+((((((((('Risk Inputs'!$B$4*(1+'Risk Inputs'!$B$19))*(1+'Risk Inputs'!$B$19))*(1+'Risk Inputs'!$B$19))*(1+'Risk Inputs'!$B$19))*L$5)-((((('Risk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Inputs'!$B$24)))/(1+$H9)^4)+(((((((((('Risk Inputs'!$B$4*(1+'Risk Inputs'!$B$19))*(1+'Risk Inputs'!$B$19))*(1+'Risk Inputs'!$B$19))*(1+'Risk Inputs'!$B$19))*(1+'Risk Inputs'!$B$19))*L$5)-(((((('Risk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Inputs'!$B$24)))/(1+$H9)^5)+((((((((((('Risk Inputs'!$B$4*(1+'Risk Inputs'!$B$19))*(1+'Risk Inputs'!$B$19))*(1+'Risk Inputs'!$B$19))*(1+'Risk Inputs'!$B$19))*(1+'Risk Inputs'!$B$19))*L$5)-(((((('Risk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Inputs'!$B$25)/($H9-'Risk Inputs'!$B$25))/(1+$H9)^5))+'Risk Inputs'!$B$13)/'Risk Inputs'!$B$14</f>
        <v>235.01163026807026</v>
      </c>
      <c r="M9" s="10">
        <f>(((((((('Risk Inputs'!$B$4*(1+'Risk Inputs'!$B$19))*M$5)-(('Risk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Inputs'!$B$24)))/(1+$H9)^1)+((((((('Risk Inputs'!$B$4*(1+'Risk Inputs'!$B$19))*(1+'Risk Inputs'!$B$19))*M$5)-((('Risk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Inputs'!$B$24)))/(1+$H9)^2)+(((((((('Risk Inputs'!$B$4*(1+'Risk Inputs'!$B$19))*(1+'Risk Inputs'!$B$19))*(1+'Risk Inputs'!$B$19))*M$5)-(((('Risk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Inputs'!$B$24)))/(1+$H9)^3)+((((((((('Risk Inputs'!$B$4*(1+'Risk Inputs'!$B$19))*(1+'Risk Inputs'!$B$19))*(1+'Risk Inputs'!$B$19))*(1+'Risk Inputs'!$B$19))*M$5)-((((('Risk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Inputs'!$B$24)))/(1+$H9)^4)+(((((((((('Risk Inputs'!$B$4*(1+'Risk Inputs'!$B$19))*(1+'Risk Inputs'!$B$19))*(1+'Risk Inputs'!$B$19))*(1+'Risk Inputs'!$B$19))*(1+'Risk Inputs'!$B$19))*M$5)-(((((('Risk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Inputs'!$B$24)))/(1+$H9)^5)+((((((((((('Risk Inputs'!$B$4*(1+'Risk Inputs'!$B$19))*(1+'Risk Inputs'!$B$19))*(1+'Risk Inputs'!$B$19))*(1+'Risk Inputs'!$B$19))*(1+'Risk Inputs'!$B$19))*M$5)-(((((('Risk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Inputs'!$B$25)/($H9-'Risk Inputs'!$B$25))/(1+$H9)^5))+'Risk Inputs'!$B$13)/'Risk Inputs'!$B$14</f>
        <v>260.159410335274</v>
      </c>
    </row>
    <row r="10" spans="1:15">
      <c r="A10" s="8">
        <v>0.13</v>
      </c>
      <c r="B10" s="10">
        <f>(((((((('Risk Inputs'!$B$4*(1+B$5))*'Risk Inputs'!$B$20)-(('Risk Inputs'!$B$4*(1+B$5))*'Risk Inputs'!$B$22))*(1-'Risk Inputs'!$B$21))+(('Risk Inputs'!$B$4*(1+B$5))*'Risk Inputs'!$B$22)-(('Risk Inputs'!$B$4*(1+B$5))*'Risk Inputs'!$B$23)-((('Risk Inputs'!$B$4*(1+B$5))*'Risk Inputs'!$B$24)-('Risk Inputs'!$B$4*'Risk Inputs'!$B$24)))/(1+$A10)^1)+((((((('Risk Inputs'!$B$4*(1+B$5))*(1+B$5))*'Risk Inputs'!$B$20)-((('Risk Inputs'!$B$4*(1+B$5))*(1+B$5))*'Risk Inputs'!$B$22))*(1-'Risk Inputs'!$B$21))+((('Risk Inputs'!$B$4*(1+B$5))*(1+B$5))*'Risk Inputs'!$B$22)-((('Risk Inputs'!$B$4*(1+B$5))*(1+B$5))*'Risk Inputs'!$B$23)-(((('Risk Inputs'!$B$4*(1+B$5))*(1+B$5))*'Risk Inputs'!$B$24)-(('Risk Inputs'!$B$4*(1+B$5))*'Risk Inputs'!$B$24)))/(1+$A10)^2)+(((((((('Risk Inputs'!$B$4*(1+B$5))*(1+B$5))*(1+B$5))*'Risk Inputs'!$B$20)-(((('Risk Inputs'!$B$4*(1+B$5))*(1+B$5))*(1+B$5))*'Risk Inputs'!$B$22))*(1-'Risk Inputs'!$B$21))+(((('Risk Inputs'!$B$4*(1+B$5))*(1+B$5))*(1+B$5))*'Risk Inputs'!$B$22)-(((('Risk Inputs'!$B$4*(1+B$5))*(1+B$5))*(1+B$5))*'Risk Inputs'!$B$23)-((((('Risk Inputs'!$B$4*(1+B$5))*(1+B$5))*(1+B$5))*'Risk Inputs'!$B$24)-((('Risk Inputs'!$B$4*(1+B$5))*(1+B$5))*'Risk Inputs'!$B$24)))/(1+$A10)^3)+((((((((('Risk Inputs'!$B$4*(1+B$5))*(1+B$5))*(1+B$5))*(1+B$5))*'Risk Inputs'!$B$20)-((((('Risk Inputs'!$B$4*(1+B$5))*(1+B$5))*(1+B$5))*(1+B$5))*'Risk Inputs'!$B$22))*(1-'Risk Inputs'!$B$21))+((((('Risk Inputs'!$B$4*(1+B$5))*(1+B$5))*(1+B$5))*(1+B$5))*'Risk Inputs'!$B$22)-((((('Risk Inputs'!$B$4*(1+B$5))*(1+B$5))*(1+B$5))*(1+B$5))*'Risk Inputs'!$B$23)-(((((('Risk Inputs'!$B$4*(1+B$5))*(1+B$5))*(1+B$5))*(1+B$5))*'Risk Inputs'!$B$24)-(((('Risk Inputs'!$B$4*(1+B$5))*(1+B$5))*(1+B$5))*'Risk Inputs'!$B$24)))/(1+$A10)^4)+(((((((((('Risk Inputs'!$B$4*(1+B$5))*(1+B$5))*(1+B$5))*(1+B$5))*(1+B$5))*'Risk Inputs'!$B$20)-(((((('Risk Inputs'!$B$4*(1+B$5))*(1+B$5))*(1+B$5))*(1+B$5))*(1+B$5))*'Risk Inputs'!$B$22))*(1-'Risk Inputs'!$B$21))+(((((('Risk Inputs'!$B$4*(1+B$5))*(1+B$5))*(1+B$5))*(1+B$5))*(1+B$5))*'Risk Inputs'!$B$22)-(((((('Risk Inputs'!$B$4*(1+B$5))*(1+B$5))*(1+B$5))*(1+B$5))*(1+B$5))*'Risk Inputs'!$B$23)-((((((('Risk Inputs'!$B$4*(1+B$5))*(1+B$5))*(1+B$5))*(1+B$5))*(1+B$5))*'Risk Inputs'!$B$24)-((((('Risk Inputs'!$B$4*(1+B$5))*(1+B$5))*(1+B$5))*(1+B$5))*'Risk Inputs'!$B$24)))/(1+$A10)^5)+((((((((((('Risk Inputs'!$B$4*(1+B$5))*(1+B$5))*(1+B$5))*(1+B$5))*(1+B$5))*'Risk Inputs'!$B$20)-(((((('Risk Inputs'!$B$4*(1+B$5))*(1+B$5))*(1+B$5))*(1+B$5))*(1+B$5))*'Risk Inputs'!$B$22))*(1-'Risk Inputs'!$B$21))+(((((('Risk Inputs'!$B$4*(1+B$5))*(1+B$5))*(1+B$5))*(1+B$5))*(1+B$5))*'Risk Inputs'!$B$22)-(((((('Risk Inputs'!$B$4*(1+B$5))*(1+B$5))*(1+B$5))*(1+B$5))*(1+B$5))*'Risk Inputs'!$B$23)-((((((('Risk Inputs'!$B$4*(1+B$5))*(1+B$5))*(1+B$5))*(1+B$5))*(1+B$5))*'Risk Inputs'!$B$24)-((((('Risk Inputs'!$B$4*(1+B$5))*(1+B$5))*(1+B$5))*(1+B$5))*'Risk Inputs'!$B$24)))*(1+'Risk Inputs'!$B$25)/($A10-'Risk Inputs'!$B$25))/(1+$A10)^5))+'Risk Inputs'!$B$13)/'Risk Inputs'!$B$14</f>
        <v>169.92428743961364</v>
      </c>
      <c r="C10" s="10">
        <f>(((((((('Risk Inputs'!$B$4*(1+C$5))*'Risk Inputs'!$B$20)-(('Risk Inputs'!$B$4*(1+C$5))*'Risk Inputs'!$B$22))*(1-'Risk Inputs'!$B$21))+(('Risk Inputs'!$B$4*(1+C$5))*'Risk Inputs'!$B$22)-(('Risk Inputs'!$B$4*(1+C$5))*'Risk Inputs'!$B$23)-((('Risk Inputs'!$B$4*(1+C$5))*'Risk Inputs'!$B$24)-('Risk Inputs'!$B$4*'Risk Inputs'!$B$24)))/(1+$A10)^1)+((((((('Risk Inputs'!$B$4*(1+C$5))*(1+C$5))*'Risk Inputs'!$B$20)-((('Risk Inputs'!$B$4*(1+C$5))*(1+C$5))*'Risk Inputs'!$B$22))*(1-'Risk Inputs'!$B$21))+((('Risk Inputs'!$B$4*(1+C$5))*(1+C$5))*'Risk Inputs'!$B$22)-((('Risk Inputs'!$B$4*(1+C$5))*(1+C$5))*'Risk Inputs'!$B$23)-(((('Risk Inputs'!$B$4*(1+C$5))*(1+C$5))*'Risk Inputs'!$B$24)-(('Risk Inputs'!$B$4*(1+C$5))*'Risk Inputs'!$B$24)))/(1+$A10)^2)+(((((((('Risk Inputs'!$B$4*(1+C$5))*(1+C$5))*(1+C$5))*'Risk Inputs'!$B$20)-(((('Risk Inputs'!$B$4*(1+C$5))*(1+C$5))*(1+C$5))*'Risk Inputs'!$B$22))*(1-'Risk Inputs'!$B$21))+(((('Risk Inputs'!$B$4*(1+C$5))*(1+C$5))*(1+C$5))*'Risk Inputs'!$B$22)-(((('Risk Inputs'!$B$4*(1+C$5))*(1+C$5))*(1+C$5))*'Risk Inputs'!$B$23)-((((('Risk Inputs'!$B$4*(1+C$5))*(1+C$5))*(1+C$5))*'Risk Inputs'!$B$24)-((('Risk Inputs'!$B$4*(1+C$5))*(1+C$5))*'Risk Inputs'!$B$24)))/(1+$A10)^3)+((((((((('Risk Inputs'!$B$4*(1+C$5))*(1+C$5))*(1+C$5))*(1+C$5))*'Risk Inputs'!$B$20)-((((('Risk Inputs'!$B$4*(1+C$5))*(1+C$5))*(1+C$5))*(1+C$5))*'Risk Inputs'!$B$22))*(1-'Risk Inputs'!$B$21))+((((('Risk Inputs'!$B$4*(1+C$5))*(1+C$5))*(1+C$5))*(1+C$5))*'Risk Inputs'!$B$22)-((((('Risk Inputs'!$B$4*(1+C$5))*(1+C$5))*(1+C$5))*(1+C$5))*'Risk Inputs'!$B$23)-(((((('Risk Inputs'!$B$4*(1+C$5))*(1+C$5))*(1+C$5))*(1+C$5))*'Risk Inputs'!$B$24)-(((('Risk Inputs'!$B$4*(1+C$5))*(1+C$5))*(1+C$5))*'Risk Inputs'!$B$24)))/(1+$A10)^4)+(((((((((('Risk Inputs'!$B$4*(1+C$5))*(1+C$5))*(1+C$5))*(1+C$5))*(1+C$5))*'Risk Inputs'!$B$20)-(((((('Risk Inputs'!$B$4*(1+C$5))*(1+C$5))*(1+C$5))*(1+C$5))*(1+C$5))*'Risk Inputs'!$B$22))*(1-'Risk Inputs'!$B$21))+(((((('Risk Inputs'!$B$4*(1+C$5))*(1+C$5))*(1+C$5))*(1+C$5))*(1+C$5))*'Risk Inputs'!$B$22)-(((((('Risk Inputs'!$B$4*(1+C$5))*(1+C$5))*(1+C$5))*(1+C$5))*(1+C$5))*'Risk Inputs'!$B$23)-((((((('Risk Inputs'!$B$4*(1+C$5))*(1+C$5))*(1+C$5))*(1+C$5))*(1+C$5))*'Risk Inputs'!$B$24)-((((('Risk Inputs'!$B$4*(1+C$5))*(1+C$5))*(1+C$5))*(1+C$5))*'Risk Inputs'!$B$24)))/(1+$A10)^5)+((((((((((('Risk Inputs'!$B$4*(1+C$5))*(1+C$5))*(1+C$5))*(1+C$5))*(1+C$5))*'Risk Inputs'!$B$20)-(((((('Risk Inputs'!$B$4*(1+C$5))*(1+C$5))*(1+C$5))*(1+C$5))*(1+C$5))*'Risk Inputs'!$B$22))*(1-'Risk Inputs'!$B$21))+(((((('Risk Inputs'!$B$4*(1+C$5))*(1+C$5))*(1+C$5))*(1+C$5))*(1+C$5))*'Risk Inputs'!$B$22)-(((((('Risk Inputs'!$B$4*(1+C$5))*(1+C$5))*(1+C$5))*(1+C$5))*(1+C$5))*'Risk Inputs'!$B$23)-((((((('Risk Inputs'!$B$4*(1+C$5))*(1+C$5))*(1+C$5))*(1+C$5))*(1+C$5))*'Risk Inputs'!$B$24)-((((('Risk Inputs'!$B$4*(1+C$5))*(1+C$5))*(1+C$5))*(1+C$5))*'Risk Inputs'!$B$24)))*(1+'Risk Inputs'!$B$25)/($A10-'Risk Inputs'!$B$25))/(1+$A10)^5))+'Risk Inputs'!$B$13)/'Risk Inputs'!$B$14</f>
        <v>178.19396592208219</v>
      </c>
      <c r="D10" s="10">
        <f>(((((((('Risk Inputs'!$B$4*(1+D$5))*'Risk Inputs'!$B$20)-(('Risk Inputs'!$B$4*(1+D$5))*'Risk Inputs'!$B$22))*(1-'Risk Inputs'!$B$21))+(('Risk Inputs'!$B$4*(1+D$5))*'Risk Inputs'!$B$22)-(('Risk Inputs'!$B$4*(1+D$5))*'Risk Inputs'!$B$23)-((('Risk Inputs'!$B$4*(1+D$5))*'Risk Inputs'!$B$24)-('Risk Inputs'!$B$4*'Risk Inputs'!$B$24)))/(1+$A10)^1)+((((((('Risk Inputs'!$B$4*(1+D$5))*(1+D$5))*'Risk Inputs'!$B$20)-((('Risk Inputs'!$B$4*(1+D$5))*(1+D$5))*'Risk Inputs'!$B$22))*(1-'Risk Inputs'!$B$21))+((('Risk Inputs'!$B$4*(1+D$5))*(1+D$5))*'Risk Inputs'!$B$22)-((('Risk Inputs'!$B$4*(1+D$5))*(1+D$5))*'Risk Inputs'!$B$23)-(((('Risk Inputs'!$B$4*(1+D$5))*(1+D$5))*'Risk Inputs'!$B$24)-(('Risk Inputs'!$B$4*(1+D$5))*'Risk Inputs'!$B$24)))/(1+$A10)^2)+(((((((('Risk Inputs'!$B$4*(1+D$5))*(1+D$5))*(1+D$5))*'Risk Inputs'!$B$20)-(((('Risk Inputs'!$B$4*(1+D$5))*(1+D$5))*(1+D$5))*'Risk Inputs'!$B$22))*(1-'Risk Inputs'!$B$21))+(((('Risk Inputs'!$B$4*(1+D$5))*(1+D$5))*(1+D$5))*'Risk Inputs'!$B$22)-(((('Risk Inputs'!$B$4*(1+D$5))*(1+D$5))*(1+D$5))*'Risk Inputs'!$B$23)-((((('Risk Inputs'!$B$4*(1+D$5))*(1+D$5))*(1+D$5))*'Risk Inputs'!$B$24)-((('Risk Inputs'!$B$4*(1+D$5))*(1+D$5))*'Risk Inputs'!$B$24)))/(1+$A10)^3)+((((((((('Risk Inputs'!$B$4*(1+D$5))*(1+D$5))*(1+D$5))*(1+D$5))*'Risk Inputs'!$B$20)-((((('Risk Inputs'!$B$4*(1+D$5))*(1+D$5))*(1+D$5))*(1+D$5))*'Risk Inputs'!$B$22))*(1-'Risk Inputs'!$B$21))+((((('Risk Inputs'!$B$4*(1+D$5))*(1+D$5))*(1+D$5))*(1+D$5))*'Risk Inputs'!$B$22)-((((('Risk Inputs'!$B$4*(1+D$5))*(1+D$5))*(1+D$5))*(1+D$5))*'Risk Inputs'!$B$23)-(((((('Risk Inputs'!$B$4*(1+D$5))*(1+D$5))*(1+D$5))*(1+D$5))*'Risk Inputs'!$B$24)-(((('Risk Inputs'!$B$4*(1+D$5))*(1+D$5))*(1+D$5))*'Risk Inputs'!$B$24)))/(1+$A10)^4)+(((((((((('Risk Inputs'!$B$4*(1+D$5))*(1+D$5))*(1+D$5))*(1+D$5))*(1+D$5))*'Risk Inputs'!$B$20)-(((((('Risk Inputs'!$B$4*(1+D$5))*(1+D$5))*(1+D$5))*(1+D$5))*(1+D$5))*'Risk Inputs'!$B$22))*(1-'Risk Inputs'!$B$21))+(((((('Risk Inputs'!$B$4*(1+D$5))*(1+D$5))*(1+D$5))*(1+D$5))*(1+D$5))*'Risk Inputs'!$B$22)-(((((('Risk Inputs'!$B$4*(1+D$5))*(1+D$5))*(1+D$5))*(1+D$5))*(1+D$5))*'Risk Inputs'!$B$23)-((((((('Risk Inputs'!$B$4*(1+D$5))*(1+D$5))*(1+D$5))*(1+D$5))*(1+D$5))*'Risk Inputs'!$B$24)-((((('Risk Inputs'!$B$4*(1+D$5))*(1+D$5))*(1+D$5))*(1+D$5))*'Risk Inputs'!$B$24)))/(1+$A10)^5)+((((((((((('Risk Inputs'!$B$4*(1+D$5))*(1+D$5))*(1+D$5))*(1+D$5))*(1+D$5))*'Risk Inputs'!$B$20)-(((((('Risk Inputs'!$B$4*(1+D$5))*(1+D$5))*(1+D$5))*(1+D$5))*(1+D$5))*'Risk Inputs'!$B$22))*(1-'Risk Inputs'!$B$21))+(((((('Risk Inputs'!$B$4*(1+D$5))*(1+D$5))*(1+D$5))*(1+D$5))*(1+D$5))*'Risk Inputs'!$B$22)-(((((('Risk Inputs'!$B$4*(1+D$5))*(1+D$5))*(1+D$5))*(1+D$5))*(1+D$5))*'Risk Inputs'!$B$23)-((((((('Risk Inputs'!$B$4*(1+D$5))*(1+D$5))*(1+D$5))*(1+D$5))*(1+D$5))*'Risk Inputs'!$B$24)-((((('Risk Inputs'!$B$4*(1+D$5))*(1+D$5))*(1+D$5))*(1+D$5))*'Risk Inputs'!$B$24)))*(1+'Risk Inputs'!$B$25)/($A10-'Risk Inputs'!$B$25))/(1+$A10)^5))+'Risk Inputs'!$B$13)/'Risk Inputs'!$B$14</f>
        <v>186.82001596833689</v>
      </c>
      <c r="E10" s="10">
        <f>(((((((('Risk Inputs'!$B$4*(1+E$5))*'Risk Inputs'!$B$20)-(('Risk Inputs'!$B$4*(1+E$5))*'Risk Inputs'!$B$22))*(1-'Risk Inputs'!$B$21))+(('Risk Inputs'!$B$4*(1+E$5))*'Risk Inputs'!$B$22)-(('Risk Inputs'!$B$4*(1+E$5))*'Risk Inputs'!$B$23)-((('Risk Inputs'!$B$4*(1+E$5))*'Risk Inputs'!$B$24)-('Risk Inputs'!$B$4*'Risk Inputs'!$B$24)))/(1+$A10)^1)+((((((('Risk Inputs'!$B$4*(1+E$5))*(1+E$5))*'Risk Inputs'!$B$20)-((('Risk Inputs'!$B$4*(1+E$5))*(1+E$5))*'Risk Inputs'!$B$22))*(1-'Risk Inputs'!$B$21))+((('Risk Inputs'!$B$4*(1+E$5))*(1+E$5))*'Risk Inputs'!$B$22)-((('Risk Inputs'!$B$4*(1+E$5))*(1+E$5))*'Risk Inputs'!$B$23)-(((('Risk Inputs'!$B$4*(1+E$5))*(1+E$5))*'Risk Inputs'!$B$24)-(('Risk Inputs'!$B$4*(1+E$5))*'Risk Inputs'!$B$24)))/(1+$A10)^2)+(((((((('Risk Inputs'!$B$4*(1+E$5))*(1+E$5))*(1+E$5))*'Risk Inputs'!$B$20)-(((('Risk Inputs'!$B$4*(1+E$5))*(1+E$5))*(1+E$5))*'Risk Inputs'!$B$22))*(1-'Risk Inputs'!$B$21))+(((('Risk Inputs'!$B$4*(1+E$5))*(1+E$5))*(1+E$5))*'Risk Inputs'!$B$22)-(((('Risk Inputs'!$B$4*(1+E$5))*(1+E$5))*(1+E$5))*'Risk Inputs'!$B$23)-((((('Risk Inputs'!$B$4*(1+E$5))*(1+E$5))*(1+E$5))*'Risk Inputs'!$B$24)-((('Risk Inputs'!$B$4*(1+E$5))*(1+E$5))*'Risk Inputs'!$B$24)))/(1+$A10)^3)+((((((((('Risk Inputs'!$B$4*(1+E$5))*(1+E$5))*(1+E$5))*(1+E$5))*'Risk Inputs'!$B$20)-((((('Risk Inputs'!$B$4*(1+E$5))*(1+E$5))*(1+E$5))*(1+E$5))*'Risk Inputs'!$B$22))*(1-'Risk Inputs'!$B$21))+((((('Risk Inputs'!$B$4*(1+E$5))*(1+E$5))*(1+E$5))*(1+E$5))*'Risk Inputs'!$B$22)-((((('Risk Inputs'!$B$4*(1+E$5))*(1+E$5))*(1+E$5))*(1+E$5))*'Risk Inputs'!$B$23)-(((((('Risk Inputs'!$B$4*(1+E$5))*(1+E$5))*(1+E$5))*(1+E$5))*'Risk Inputs'!$B$24)-(((('Risk Inputs'!$B$4*(1+E$5))*(1+E$5))*(1+E$5))*'Risk Inputs'!$B$24)))/(1+$A10)^4)+(((((((((('Risk Inputs'!$B$4*(1+E$5))*(1+E$5))*(1+E$5))*(1+E$5))*(1+E$5))*'Risk Inputs'!$B$20)-(((((('Risk Inputs'!$B$4*(1+E$5))*(1+E$5))*(1+E$5))*(1+E$5))*(1+E$5))*'Risk Inputs'!$B$22))*(1-'Risk Inputs'!$B$21))+(((((('Risk Inputs'!$B$4*(1+E$5))*(1+E$5))*(1+E$5))*(1+E$5))*(1+E$5))*'Risk Inputs'!$B$22)-(((((('Risk Inputs'!$B$4*(1+E$5))*(1+E$5))*(1+E$5))*(1+E$5))*(1+E$5))*'Risk Inputs'!$B$23)-((((((('Risk Inputs'!$B$4*(1+E$5))*(1+E$5))*(1+E$5))*(1+E$5))*(1+E$5))*'Risk Inputs'!$B$24)-((((('Risk Inputs'!$B$4*(1+E$5))*(1+E$5))*(1+E$5))*(1+E$5))*'Risk Inputs'!$B$24)))/(1+$A10)^5)+((((((((((('Risk Inputs'!$B$4*(1+E$5))*(1+E$5))*(1+E$5))*(1+E$5))*(1+E$5))*'Risk Inputs'!$B$20)-(((((('Risk Inputs'!$B$4*(1+E$5))*(1+E$5))*(1+E$5))*(1+E$5))*(1+E$5))*'Risk Inputs'!$B$22))*(1-'Risk Inputs'!$B$21))+(((((('Risk Inputs'!$B$4*(1+E$5))*(1+E$5))*(1+E$5))*(1+E$5))*(1+E$5))*'Risk Inputs'!$B$22)-(((((('Risk Inputs'!$B$4*(1+E$5))*(1+E$5))*(1+E$5))*(1+E$5))*(1+E$5))*'Risk Inputs'!$B$23)-((((((('Risk Inputs'!$B$4*(1+E$5))*(1+E$5))*(1+E$5))*(1+E$5))*(1+E$5))*'Risk Inputs'!$B$24)-((((('Risk Inputs'!$B$4*(1+E$5))*(1+E$5))*(1+E$5))*(1+E$5))*'Risk Inputs'!$B$24)))*(1+'Risk Inputs'!$B$25)/($A10-'Risk Inputs'!$B$25))/(1+$A10)^5))+'Risk Inputs'!$B$13)/'Risk Inputs'!$B$14</f>
        <v>195.81346062177533</v>
      </c>
      <c r="F10" s="10">
        <f>(((((((('Risk Inputs'!$B$4*(1+F$5))*'Risk Inputs'!$B$20)-(('Risk Inputs'!$B$4*(1+F$5))*'Risk Inputs'!$B$22))*(1-'Risk Inputs'!$B$21))+(('Risk Inputs'!$B$4*(1+F$5))*'Risk Inputs'!$B$22)-(('Risk Inputs'!$B$4*(1+F$5))*'Risk Inputs'!$B$23)-((('Risk Inputs'!$B$4*(1+F$5))*'Risk Inputs'!$B$24)-('Risk Inputs'!$B$4*'Risk Inputs'!$B$24)))/(1+$A10)^1)+((((((('Risk Inputs'!$B$4*(1+F$5))*(1+F$5))*'Risk Inputs'!$B$20)-((('Risk Inputs'!$B$4*(1+F$5))*(1+F$5))*'Risk Inputs'!$B$22))*(1-'Risk Inputs'!$B$21))+((('Risk Inputs'!$B$4*(1+F$5))*(1+F$5))*'Risk Inputs'!$B$22)-((('Risk Inputs'!$B$4*(1+F$5))*(1+F$5))*'Risk Inputs'!$B$23)-(((('Risk Inputs'!$B$4*(1+F$5))*(1+F$5))*'Risk Inputs'!$B$24)-(('Risk Inputs'!$B$4*(1+F$5))*'Risk Inputs'!$B$24)))/(1+$A10)^2)+(((((((('Risk Inputs'!$B$4*(1+F$5))*(1+F$5))*(1+F$5))*'Risk Inputs'!$B$20)-(((('Risk Inputs'!$B$4*(1+F$5))*(1+F$5))*(1+F$5))*'Risk Inputs'!$B$22))*(1-'Risk Inputs'!$B$21))+(((('Risk Inputs'!$B$4*(1+F$5))*(1+F$5))*(1+F$5))*'Risk Inputs'!$B$22)-(((('Risk Inputs'!$B$4*(1+F$5))*(1+F$5))*(1+F$5))*'Risk Inputs'!$B$23)-((((('Risk Inputs'!$B$4*(1+F$5))*(1+F$5))*(1+F$5))*'Risk Inputs'!$B$24)-((('Risk Inputs'!$B$4*(1+F$5))*(1+F$5))*'Risk Inputs'!$B$24)))/(1+$A10)^3)+((((((((('Risk Inputs'!$B$4*(1+F$5))*(1+F$5))*(1+F$5))*(1+F$5))*'Risk Inputs'!$B$20)-((((('Risk Inputs'!$B$4*(1+F$5))*(1+F$5))*(1+F$5))*(1+F$5))*'Risk Inputs'!$B$22))*(1-'Risk Inputs'!$B$21))+((((('Risk Inputs'!$B$4*(1+F$5))*(1+F$5))*(1+F$5))*(1+F$5))*'Risk Inputs'!$B$22)-((((('Risk Inputs'!$B$4*(1+F$5))*(1+F$5))*(1+F$5))*(1+F$5))*'Risk Inputs'!$B$23)-(((((('Risk Inputs'!$B$4*(1+F$5))*(1+F$5))*(1+F$5))*(1+F$5))*'Risk Inputs'!$B$24)-(((('Risk Inputs'!$B$4*(1+F$5))*(1+F$5))*(1+F$5))*'Risk Inputs'!$B$24)))/(1+$A10)^4)+(((((((((('Risk Inputs'!$B$4*(1+F$5))*(1+F$5))*(1+F$5))*(1+F$5))*(1+F$5))*'Risk Inputs'!$B$20)-(((((('Risk Inputs'!$B$4*(1+F$5))*(1+F$5))*(1+F$5))*(1+F$5))*(1+F$5))*'Risk Inputs'!$B$22))*(1-'Risk Inputs'!$B$21))+(((((('Risk Inputs'!$B$4*(1+F$5))*(1+F$5))*(1+F$5))*(1+F$5))*(1+F$5))*'Risk Inputs'!$B$22)-(((((('Risk Inputs'!$B$4*(1+F$5))*(1+F$5))*(1+F$5))*(1+F$5))*(1+F$5))*'Risk Inputs'!$B$23)-((((((('Risk Inputs'!$B$4*(1+F$5))*(1+F$5))*(1+F$5))*(1+F$5))*(1+F$5))*'Risk Inputs'!$B$24)-((((('Risk Inputs'!$B$4*(1+F$5))*(1+F$5))*(1+F$5))*(1+F$5))*'Risk Inputs'!$B$24)))/(1+$A10)^5)+((((((((((('Risk Inputs'!$B$4*(1+F$5))*(1+F$5))*(1+F$5))*(1+F$5))*(1+F$5))*'Risk Inputs'!$B$20)-(((((('Risk Inputs'!$B$4*(1+F$5))*(1+F$5))*(1+F$5))*(1+F$5))*(1+F$5))*'Risk Inputs'!$B$22))*(1-'Risk Inputs'!$B$21))+(((((('Risk Inputs'!$B$4*(1+F$5))*(1+F$5))*(1+F$5))*(1+F$5))*(1+F$5))*'Risk Inputs'!$B$22)-(((((('Risk Inputs'!$B$4*(1+F$5))*(1+F$5))*(1+F$5))*(1+F$5))*(1+F$5))*'Risk Inputs'!$B$23)-((((((('Risk Inputs'!$B$4*(1+F$5))*(1+F$5))*(1+F$5))*(1+F$5))*(1+F$5))*'Risk Inputs'!$B$24)-((((('Risk Inputs'!$B$4*(1+F$5))*(1+F$5))*(1+F$5))*(1+F$5))*'Risk Inputs'!$B$24)))*(1+'Risk Inputs'!$B$25)/($A10-'Risk Inputs'!$B$25))/(1+$A10)^5))+'Risk Inputs'!$B$13)/'Risk Inputs'!$B$14</f>
        <v>205.1855241981595</v>
      </c>
      <c r="H10" s="8">
        <v>0.13</v>
      </c>
      <c r="I10" s="10">
        <f>(((((((('Risk Inputs'!$B$4*(1+'Risk Inputs'!$B$19))*I$5)-(('Risk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Inputs'!$B$24)))/(1+$H10)^1)+((((((('Risk Inputs'!$B$4*(1+'Risk Inputs'!$B$19))*(1+'Risk Inputs'!$B$19))*I$5)-((('Risk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Inputs'!$B$24)))/(1+$H10)^2)+(((((((('Risk Inputs'!$B$4*(1+'Risk Inputs'!$B$19))*(1+'Risk Inputs'!$B$19))*(1+'Risk Inputs'!$B$19))*I$5)-(((('Risk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Inputs'!$B$24)))/(1+$H10)^3)+((((((((('Risk Inputs'!$B$4*(1+'Risk Inputs'!$B$19))*(1+'Risk Inputs'!$B$19))*(1+'Risk Inputs'!$B$19))*(1+'Risk Inputs'!$B$19))*I$5)-((((('Risk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Inputs'!$B$24)))/(1+$H10)^4)+(((((((((('Risk Inputs'!$B$4*(1+'Risk Inputs'!$B$19))*(1+'Risk Inputs'!$B$19))*(1+'Risk Inputs'!$B$19))*(1+'Risk Inputs'!$B$19))*(1+'Risk Inputs'!$B$19))*I$5)-(((((('Risk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Inputs'!$B$24)))/(1+$H10)^5)+((((((((((('Risk Inputs'!$B$4*(1+'Risk Inputs'!$B$19))*(1+'Risk Inputs'!$B$19))*(1+'Risk Inputs'!$B$19))*(1+'Risk Inputs'!$B$19))*(1+'Risk Inputs'!$B$19))*I$5)-(((((('Risk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Inputs'!$B$25)/($H10-'Risk Inputs'!$B$25))/(1+$H10)^5))+'Risk Inputs'!$B$13)/'Risk Inputs'!$B$14</f>
        <v>142.20010287501083</v>
      </c>
      <c r="J10" s="10">
        <f>(((((((('Risk Inputs'!$B$4*(1+'Risk Inputs'!$B$19))*J$5)-(('Risk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Inputs'!$B$24)))/(1+$H10)^1)+((((((('Risk Inputs'!$B$4*(1+'Risk Inputs'!$B$19))*(1+'Risk Inputs'!$B$19))*J$5)-((('Risk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Inputs'!$B$24)))/(1+$H10)^2)+(((((((('Risk Inputs'!$B$4*(1+'Risk Inputs'!$B$19))*(1+'Risk Inputs'!$B$19))*(1+'Risk Inputs'!$B$19))*J$5)-(((('Risk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Inputs'!$B$24)))/(1+$H10)^3)+((((((((('Risk Inputs'!$B$4*(1+'Risk Inputs'!$B$19))*(1+'Risk Inputs'!$B$19))*(1+'Risk Inputs'!$B$19))*(1+'Risk Inputs'!$B$19))*J$5)-((((('Risk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Inputs'!$B$24)))/(1+$H10)^4)+(((((((((('Risk Inputs'!$B$4*(1+'Risk Inputs'!$B$19))*(1+'Risk Inputs'!$B$19))*(1+'Risk Inputs'!$B$19))*(1+'Risk Inputs'!$B$19))*(1+'Risk Inputs'!$B$19))*J$5)-(((((('Risk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Inputs'!$B$24)))/(1+$H10)^5)+((((((((((('Risk Inputs'!$B$4*(1+'Risk Inputs'!$B$19))*(1+'Risk Inputs'!$B$19))*(1+'Risk Inputs'!$B$19))*(1+'Risk Inputs'!$B$19))*(1+'Risk Inputs'!$B$19))*J$5)-(((((('Risk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Inputs'!$B$25)/($H10-'Risk Inputs'!$B$25))/(1+$H10)^5))+'Risk Inputs'!$B$13)/'Risk Inputs'!$B$14</f>
        <v>164.5100594216739</v>
      </c>
      <c r="K10" s="10">
        <f>(((((((('Risk Inputs'!$B$4*(1+'Risk Inputs'!$B$19))*K$5)-(('Risk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Inputs'!$B$24)))/(1+$H10)^1)+((((((('Risk Inputs'!$B$4*(1+'Risk Inputs'!$B$19))*(1+'Risk Inputs'!$B$19))*K$5)-((('Risk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Inputs'!$B$24)))/(1+$H10)^2)+(((((((('Risk Inputs'!$B$4*(1+'Risk Inputs'!$B$19))*(1+'Risk Inputs'!$B$19))*(1+'Risk Inputs'!$B$19))*K$5)-(((('Risk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Inputs'!$B$24)))/(1+$H10)^3)+((((((((('Risk Inputs'!$B$4*(1+'Risk Inputs'!$B$19))*(1+'Risk Inputs'!$B$19))*(1+'Risk Inputs'!$B$19))*(1+'Risk Inputs'!$B$19))*K$5)-((((('Risk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Inputs'!$B$24)))/(1+$H10)^4)+(((((((((('Risk Inputs'!$B$4*(1+'Risk Inputs'!$B$19))*(1+'Risk Inputs'!$B$19))*(1+'Risk Inputs'!$B$19))*(1+'Risk Inputs'!$B$19))*(1+'Risk Inputs'!$B$19))*K$5)-(((((('Risk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Inputs'!$B$24)))/(1+$H10)^5)+((((((((((('Risk Inputs'!$B$4*(1+'Risk Inputs'!$B$19))*(1+'Risk Inputs'!$B$19))*(1+'Risk Inputs'!$B$19))*(1+'Risk Inputs'!$B$19))*(1+'Risk Inputs'!$B$19))*K$5)-(((((('Risk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Inputs'!$B$25)/($H10-'Risk Inputs'!$B$25))/(1+$H10)^5))+'Risk Inputs'!$B$13)/'Risk Inputs'!$B$14</f>
        <v>186.82001596833689</v>
      </c>
      <c r="L10" s="10">
        <f>(((((((('Risk Inputs'!$B$4*(1+'Risk Inputs'!$B$19))*L$5)-(('Risk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Inputs'!$B$24)))/(1+$H10)^1)+((((((('Risk Inputs'!$B$4*(1+'Risk Inputs'!$B$19))*(1+'Risk Inputs'!$B$19))*L$5)-((('Risk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Inputs'!$B$24)))/(1+$H10)^2)+(((((((('Risk Inputs'!$B$4*(1+'Risk Inputs'!$B$19))*(1+'Risk Inputs'!$B$19))*(1+'Risk Inputs'!$B$19))*L$5)-(((('Risk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Inputs'!$B$24)))/(1+$H10)^3)+((((((((('Risk Inputs'!$B$4*(1+'Risk Inputs'!$B$19))*(1+'Risk Inputs'!$B$19))*(1+'Risk Inputs'!$B$19))*(1+'Risk Inputs'!$B$19))*L$5)-((((('Risk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Inputs'!$B$24)))/(1+$H10)^4)+(((((((((('Risk Inputs'!$B$4*(1+'Risk Inputs'!$B$19))*(1+'Risk Inputs'!$B$19))*(1+'Risk Inputs'!$B$19))*(1+'Risk Inputs'!$B$19))*(1+'Risk Inputs'!$B$19))*L$5)-(((((('Risk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Inputs'!$B$24)))/(1+$H10)^5)+((((((((((('Risk Inputs'!$B$4*(1+'Risk Inputs'!$B$19))*(1+'Risk Inputs'!$B$19))*(1+'Risk Inputs'!$B$19))*(1+'Risk Inputs'!$B$19))*(1+'Risk Inputs'!$B$19))*L$5)-(((((('Risk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Inputs'!$B$25)/($H10-'Risk Inputs'!$B$25))/(1+$H10)^5))+'Risk Inputs'!$B$13)/'Risk Inputs'!$B$14</f>
        <v>209.12997251499991</v>
      </c>
      <c r="M10" s="10">
        <f>(((((((('Risk Inputs'!$B$4*(1+'Risk Inputs'!$B$19))*M$5)-(('Risk Inputs'!$B$4*(1+'Risk Inputs'!$B$19))*'Risk Inputs'!$B$22))*(1-'Risk Inputs'!$B$21))+(('Risk Inputs'!$B$4*(1+'Risk Inputs'!$B$19))*'Risk Inputs'!$B$22)-(('Risk Inputs'!$B$4*(1+'Risk Inputs'!$B$19))*'Risk Inputs'!$B$23)-((('Risk Inputs'!$B$4*(1+'Risk Inputs'!$B$19))*'Risk Inputs'!$B$24)-('Risk Inputs'!$B$4*'Risk Inputs'!$B$24)))/(1+$H10)^1)+((((((('Risk Inputs'!$B$4*(1+'Risk Inputs'!$B$19))*(1+'Risk Inputs'!$B$19))*M$5)-((('Risk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Inputs'!$B$19))*'Risk Inputs'!$B$23)-(((('Risk Inputs'!$B$4*(1+'Risk Inputs'!$B$19))*(1+'Risk Inputs'!$B$19))*'Risk Inputs'!$B$24)-(('Risk Inputs'!$B$4*(1+'Risk Inputs'!$B$19))*'Risk Inputs'!$B$24)))/(1+$H10)^2)+(((((((('Risk Inputs'!$B$4*(1+'Risk Inputs'!$B$19))*(1+'Risk Inputs'!$B$19))*(1+'Risk Inputs'!$B$19))*M$5)-(((('Risk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Inputs'!$B$19))*'Risk Inputs'!$B$23)-((((('Risk Inputs'!$B$4*(1+'Risk Inputs'!$B$19))*(1+'Risk Inputs'!$B$19))*(1+'Risk Inputs'!$B$19))*'Risk Inputs'!$B$24)-((('Risk Inputs'!$B$4*(1+'Risk Inputs'!$B$19))*(1+'Risk Inputs'!$B$19))*'Risk Inputs'!$B$24)))/(1+$H10)^3)+((((((((('Risk Inputs'!$B$4*(1+'Risk Inputs'!$B$19))*(1+'Risk Inputs'!$B$19))*(1+'Risk Inputs'!$B$19))*(1+'Risk Inputs'!$B$19))*M$5)-((((('Risk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Inputs'!$B$19))*'Risk Inputs'!$B$23)-(((((('Risk Inputs'!$B$4*(1+'Risk Inputs'!$B$19))*(1+'Risk Inputs'!$B$19))*(1+'Risk Inputs'!$B$19))*(1+'Risk Inputs'!$B$19))*'Risk Inputs'!$B$24)-(((('Risk Inputs'!$B$4*(1+'Risk Inputs'!$B$19))*(1+'Risk Inputs'!$B$19))*(1+'Risk Inputs'!$B$19))*'Risk Inputs'!$B$24)))/(1+$H10)^4)+(((((((((('Risk Inputs'!$B$4*(1+'Risk Inputs'!$B$19))*(1+'Risk Inputs'!$B$19))*(1+'Risk Inputs'!$B$19))*(1+'Risk Inputs'!$B$19))*(1+'Risk Inputs'!$B$19))*M$5)-(((((('Risk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Inputs'!$B$24)))/(1+$H10)^5)+((((((((((('Risk Inputs'!$B$4*(1+'Risk Inputs'!$B$19))*(1+'Risk Inputs'!$B$19))*(1+'Risk Inputs'!$B$19))*(1+'Risk Inputs'!$B$19))*(1+'Risk Inputs'!$B$19))*M$5)-(((((('Risk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Inputs'!$B$19))*'Risk Inputs'!$B$23)-((((((('Risk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Inputs'!$B$25)/($H10-'Risk Inputs'!$B$25))/(1+$H10)^5))+'Risk Inputs'!$B$13)/'Risk Inputs'!$B$14</f>
        <v>231.43992906166278</v>
      </c>
    </row>
    <row r="13" spans="1:15">
      <c r="A13" s="28" t="s">
        <v>119</v>
      </c>
      <c r="B13" s="28"/>
      <c r="C13" s="28"/>
      <c r="D13" s="28"/>
      <c r="E13" s="28"/>
      <c r="F13" s="28"/>
      <c r="H13" s="28" t="s">
        <v>120</v>
      </c>
      <c r="I13" s="28"/>
      <c r="J13" s="28"/>
      <c r="K13" s="28"/>
      <c r="L13" s="28"/>
      <c r="M13" s="28"/>
    </row>
    <row r="14" spans="1:15" ht="27.6">
      <c r="A14" s="13" t="s">
        <v>8</v>
      </c>
      <c r="B14" s="13" t="s">
        <v>121</v>
      </c>
      <c r="C14" s="13" t="s">
        <v>122</v>
      </c>
      <c r="H14" s="13" t="s">
        <v>9</v>
      </c>
      <c r="I14" s="13" t="s">
        <v>123</v>
      </c>
      <c r="J14" s="13" t="s">
        <v>22</v>
      </c>
    </row>
    <row r="15" spans="1:15">
      <c r="A15" s="8">
        <v>-0.02</v>
      </c>
      <c r="B15" s="9">
        <f>'Risk Inputs'!B12*A15</f>
        <v>-137.97999999999999</v>
      </c>
      <c r="C15" s="11">
        <f>-(B15*(1-'Risk Inputs'!B21))/'Risk Inputs'!B14</f>
        <v>0.28120923913043472</v>
      </c>
      <c r="H15" s="8">
        <v>2.5000000000000001E-2</v>
      </c>
      <c r="J15" s="10">
        <f>(((((((('Risk Inputs'!$B$4*(1+'Risk Inputs'!$B$19))*'Risk Inputs'!$B$20)-(('Risk Inputs'!$B$4*(1+'Risk Inputs'!$B$19))*'Risk Inputs'!$B$22))*(1-'Risk Inputs'!$B$21))+(('Risk Inputs'!$B$4*(1+'Risk Inputs'!$B$19))*'Risk Inputs'!$B$22)-(('Risk Inputs'!$B$4*(1+'Risk Inputs'!$B$19))*$H15)-((('Risk Inputs'!$B$4*(1+'Risk Inputs'!$B$19))*'Risk Inputs'!$B$24)-('Risk Inputs'!$B$4*'Risk Inputs'!$B$24)))/(1+'Risk Inputs'!$B$26)^1)+((((((('Risk Inputs'!$B$4*(1+'Risk Inputs'!$B$19))*(1+'Risk Inputs'!$B$19))*'Risk Inputs'!$B$20)-((('Risk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Inputs'!$B$19))*$H15)-(((('Risk Inputs'!$B$4*(1+'Risk Inputs'!$B$19))*(1+'Risk Inputs'!$B$19))*'Risk Inputs'!$B$24)-(('Risk Inputs'!$B$4*(1+'Risk Inputs'!$B$19))*'Risk Inputs'!$B$24)))/(1+'Risk Inputs'!$B$26)^2)+(((((((('Risk Inputs'!$B$4*(1+'Risk Inputs'!$B$19))*(1+'Risk Inputs'!$B$19))*(1+'Risk Inputs'!$B$19))*'Risk Inputs'!$B$20)-(((('Risk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Inputs'!$B$19))*$H15)-((((('Risk Inputs'!$B$4*(1+'Risk Inputs'!$B$19))*(1+'Risk Inputs'!$B$19))*(1+'Risk Inputs'!$B$19))*'Risk Inputs'!$B$24)-((('Risk Inputs'!$B$4*(1+'Risk Inputs'!$B$19))*(1+'Risk Inputs'!$B$19))*'Risk Inputs'!$B$24)))/(1+'Risk Inputs'!$B$26)^3)+((((((((('Risk Inputs'!$B$4*(1+'Risk Inputs'!$B$19))*(1+'Risk Inputs'!$B$19))*(1+'Risk Inputs'!$B$19))*(1+'Risk Inputs'!$B$19))*'Risk Inputs'!$B$20)-((((('Risk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Inputs'!$B$19))*$H15)-(((((('Risk Inputs'!$B$4*(1+'Risk Inputs'!$B$19))*(1+'Risk Inputs'!$B$19))*(1+'Risk Inputs'!$B$19))*(1+'Risk Inputs'!$B$19))*'Risk Inputs'!$B$24)-(((('Risk Inputs'!$B$4*(1+'Risk Inputs'!$B$19))*(1+'Risk Inputs'!$B$19))*(1+'Risk Inputs'!$B$19))*'Risk Inputs'!$B$24)))/(1+'Risk Inputs'!$B$26)^4)+(((((((((('Risk Inputs'!$B$4*(1+'Risk Inputs'!$B$19))*(1+'Risk Inputs'!$B$19))*(1+'Risk Inputs'!$B$19))*(1+'Risk Inputs'!$B$19))*(1+'Risk Inputs'!$B$19))*'Risk Inputs'!$B$20)-(((((('Risk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Inputs'!$B$19))*$H15)-((((((('Risk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Inputs'!$B$24)))/(1+'Risk Inputs'!$B$26)^5)+((((((((((('Risk Inputs'!$B$4*(1+'Risk Inputs'!$B$19))*(1+'Risk Inputs'!$B$19))*(1+'Risk Inputs'!$B$19))*(1+'Risk Inputs'!$B$19))*(1+'Risk Inputs'!$B$19))*'Risk Inputs'!$B$20)-(((((('Risk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Inputs'!$B$19))*$H15)-((((((('Risk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Inputs'!$B$25)/('Risk Inputs'!$B$26-'Risk Inputs'!$B$25))/(1+'Risk Inputs'!$B$26)^5))+'Risk Inputs'!$B$13)/'Risk Inputs'!$B$14</f>
        <v>277.90590461959454</v>
      </c>
    </row>
    <row r="16" spans="1:15">
      <c r="A16" s="8">
        <v>-0.01</v>
      </c>
      <c r="B16" s="9">
        <f>'Risk Inputs'!B12*A16</f>
        <v>-68.989999999999995</v>
      </c>
      <c r="C16" s="11">
        <f>-(B16*(1-'Risk Inputs'!B21))/'Risk Inputs'!B14</f>
        <v>0.14060461956521736</v>
      </c>
      <c r="H16" s="8">
        <v>0.03</v>
      </c>
      <c r="J16" s="10">
        <f>(((((((('Risk Inputs'!$B$4*(1+'Risk Inputs'!$B$19))*'Risk Inputs'!$B$20)-(('Risk Inputs'!$B$4*(1+'Risk Inputs'!$B$19))*'Risk Inputs'!$B$22))*(1-'Risk Inputs'!$B$21))+(('Risk Inputs'!$B$4*(1+'Risk Inputs'!$B$19))*'Risk Inputs'!$B$22)-(('Risk Inputs'!$B$4*(1+'Risk Inputs'!$B$19))*$H16)-((('Risk Inputs'!$B$4*(1+'Risk Inputs'!$B$19))*'Risk Inputs'!$B$24)-('Risk Inputs'!$B$4*'Risk Inputs'!$B$24)))/(1+'Risk Inputs'!$B$26)^1)+((((((('Risk Inputs'!$B$4*(1+'Risk Inputs'!$B$19))*(1+'Risk Inputs'!$B$19))*'Risk Inputs'!$B$20)-((('Risk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Inputs'!$B$19))*$H16)-(((('Risk Inputs'!$B$4*(1+'Risk Inputs'!$B$19))*(1+'Risk Inputs'!$B$19))*'Risk Inputs'!$B$24)-(('Risk Inputs'!$B$4*(1+'Risk Inputs'!$B$19))*'Risk Inputs'!$B$24)))/(1+'Risk Inputs'!$B$26)^2)+(((((((('Risk Inputs'!$B$4*(1+'Risk Inputs'!$B$19))*(1+'Risk Inputs'!$B$19))*(1+'Risk Inputs'!$B$19))*'Risk Inputs'!$B$20)-(((('Risk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Inputs'!$B$19))*$H16)-((((('Risk Inputs'!$B$4*(1+'Risk Inputs'!$B$19))*(1+'Risk Inputs'!$B$19))*(1+'Risk Inputs'!$B$19))*'Risk Inputs'!$B$24)-((('Risk Inputs'!$B$4*(1+'Risk Inputs'!$B$19))*(1+'Risk Inputs'!$B$19))*'Risk Inputs'!$B$24)))/(1+'Risk Inputs'!$B$26)^3)+((((((((('Risk Inputs'!$B$4*(1+'Risk Inputs'!$B$19))*(1+'Risk Inputs'!$B$19))*(1+'Risk Inputs'!$B$19))*(1+'Risk Inputs'!$B$19))*'Risk Inputs'!$B$20)-((((('Risk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Inputs'!$B$19))*$H16)-(((((('Risk Inputs'!$B$4*(1+'Risk Inputs'!$B$19))*(1+'Risk Inputs'!$B$19))*(1+'Risk Inputs'!$B$19))*(1+'Risk Inputs'!$B$19))*'Risk Inputs'!$B$24)-(((('Risk Inputs'!$B$4*(1+'Risk Inputs'!$B$19))*(1+'Risk Inputs'!$B$19))*(1+'Risk Inputs'!$B$19))*'Risk Inputs'!$B$24)))/(1+'Risk Inputs'!$B$26)^4)+(((((((((('Risk Inputs'!$B$4*(1+'Risk Inputs'!$B$19))*(1+'Risk Inputs'!$B$19))*(1+'Risk Inputs'!$B$19))*(1+'Risk Inputs'!$B$19))*(1+'Risk Inputs'!$B$19))*'Risk Inputs'!$B$20)-(((((('Risk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Inputs'!$B$19))*$H16)-((((((('Risk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Inputs'!$B$24)))/(1+'Risk Inputs'!$B$26)^5)+((((((((((('Risk Inputs'!$B$4*(1+'Risk Inputs'!$B$19))*(1+'Risk Inputs'!$B$19))*(1+'Risk Inputs'!$B$19))*(1+'Risk Inputs'!$B$19))*(1+'Risk Inputs'!$B$19))*'Risk Inputs'!$B$20)-(((((('Risk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Inputs'!$B$19))*$H16)-((((((('Risk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Inputs'!$B$25)/('Risk Inputs'!$B$26-'Risk Inputs'!$B$25))/(1+'Risk Inputs'!$B$26)^5))+'Risk Inputs'!$B$13)/'Risk Inputs'!$B$14</f>
        <v>258.70695407332039</v>
      </c>
    </row>
    <row r="17" spans="1:10">
      <c r="A17" s="8">
        <v>0</v>
      </c>
      <c r="B17" s="9">
        <f>'Risk Inputs'!B12*A17</f>
        <v>0</v>
      </c>
      <c r="C17" s="11">
        <f>-(B17*(1-'Risk Inputs'!B21))/'Risk Inputs'!B14</f>
        <v>0</v>
      </c>
      <c r="H17" s="8">
        <v>3.5000000000000003E-2</v>
      </c>
      <c r="J17" s="10">
        <f>(((((((('Risk Inputs'!$B$4*(1+'Risk Inputs'!$B$19))*'Risk Inputs'!$B$20)-(('Risk Inputs'!$B$4*(1+'Risk Inputs'!$B$19))*'Risk Inputs'!$B$22))*(1-'Risk Inputs'!$B$21))+(('Risk Inputs'!$B$4*(1+'Risk Inputs'!$B$19))*'Risk Inputs'!$B$22)-(('Risk Inputs'!$B$4*(1+'Risk Inputs'!$B$19))*$H17)-((('Risk Inputs'!$B$4*(1+'Risk Inputs'!$B$19))*'Risk Inputs'!$B$24)-('Risk Inputs'!$B$4*'Risk Inputs'!$B$24)))/(1+'Risk Inputs'!$B$26)^1)+((((((('Risk Inputs'!$B$4*(1+'Risk Inputs'!$B$19))*(1+'Risk Inputs'!$B$19))*'Risk Inputs'!$B$20)-((('Risk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Inputs'!$B$19))*$H17)-(((('Risk Inputs'!$B$4*(1+'Risk Inputs'!$B$19))*(1+'Risk Inputs'!$B$19))*'Risk Inputs'!$B$24)-(('Risk Inputs'!$B$4*(1+'Risk Inputs'!$B$19))*'Risk Inputs'!$B$24)))/(1+'Risk Inputs'!$B$26)^2)+(((((((('Risk Inputs'!$B$4*(1+'Risk Inputs'!$B$19))*(1+'Risk Inputs'!$B$19))*(1+'Risk Inputs'!$B$19))*'Risk Inputs'!$B$20)-(((('Risk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Inputs'!$B$19))*$H17)-((((('Risk Inputs'!$B$4*(1+'Risk Inputs'!$B$19))*(1+'Risk Inputs'!$B$19))*(1+'Risk Inputs'!$B$19))*'Risk Inputs'!$B$24)-((('Risk Inputs'!$B$4*(1+'Risk Inputs'!$B$19))*(1+'Risk Inputs'!$B$19))*'Risk Inputs'!$B$24)))/(1+'Risk Inputs'!$B$26)^3)+((((((((('Risk Inputs'!$B$4*(1+'Risk Inputs'!$B$19))*(1+'Risk Inputs'!$B$19))*(1+'Risk Inputs'!$B$19))*(1+'Risk Inputs'!$B$19))*'Risk Inputs'!$B$20)-((((('Risk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Inputs'!$B$19))*$H17)-(((((('Risk Inputs'!$B$4*(1+'Risk Inputs'!$B$19))*(1+'Risk Inputs'!$B$19))*(1+'Risk Inputs'!$B$19))*(1+'Risk Inputs'!$B$19))*'Risk Inputs'!$B$24)-(((('Risk Inputs'!$B$4*(1+'Risk Inputs'!$B$19))*(1+'Risk Inputs'!$B$19))*(1+'Risk Inputs'!$B$19))*'Risk Inputs'!$B$24)))/(1+'Risk Inputs'!$B$26)^4)+(((((((((('Risk Inputs'!$B$4*(1+'Risk Inputs'!$B$19))*(1+'Risk Inputs'!$B$19))*(1+'Risk Inputs'!$B$19))*(1+'Risk Inputs'!$B$19))*(1+'Risk Inputs'!$B$19))*'Risk Inputs'!$B$20)-(((((('Risk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Inputs'!$B$19))*$H17)-((((((('Risk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Inputs'!$B$24)))/(1+'Risk Inputs'!$B$26)^5)+((((((((((('Risk Inputs'!$B$4*(1+'Risk Inputs'!$B$19))*(1+'Risk Inputs'!$B$19))*(1+'Risk Inputs'!$B$19))*(1+'Risk Inputs'!$B$19))*(1+'Risk Inputs'!$B$19))*'Risk Inputs'!$B$20)-(((((('Risk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Inputs'!$B$19))*$H17)-((((((('Risk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Inputs'!$B$25)/('Risk Inputs'!$B$26-'Risk Inputs'!$B$25))/(1+'Risk Inputs'!$B$26)^5))+'Risk Inputs'!$B$13)/'Risk Inputs'!$B$14</f>
        <v>239.50800352704621</v>
      </c>
    </row>
    <row r="18" spans="1:10">
      <c r="A18" s="8">
        <v>0.01</v>
      </c>
      <c r="B18" s="9">
        <f>'Risk Inputs'!B12*A18</f>
        <v>68.989999999999995</v>
      </c>
      <c r="C18" s="11">
        <f>-(B18*(1-'Risk Inputs'!B21))/'Risk Inputs'!B14</f>
        <v>-0.14060461956521736</v>
      </c>
      <c r="H18" s="8">
        <v>0.04</v>
      </c>
      <c r="J18" s="10">
        <f>(((((((('Risk Inputs'!$B$4*(1+'Risk Inputs'!$B$19))*'Risk Inputs'!$B$20)-(('Risk Inputs'!$B$4*(1+'Risk Inputs'!$B$19))*'Risk Inputs'!$B$22))*(1-'Risk Inputs'!$B$21))+(('Risk Inputs'!$B$4*(1+'Risk Inputs'!$B$19))*'Risk Inputs'!$B$22)-(('Risk Inputs'!$B$4*(1+'Risk Inputs'!$B$19))*$H18)-((('Risk Inputs'!$B$4*(1+'Risk Inputs'!$B$19))*'Risk Inputs'!$B$24)-('Risk Inputs'!$B$4*'Risk Inputs'!$B$24)))/(1+'Risk Inputs'!$B$26)^1)+((((((('Risk Inputs'!$B$4*(1+'Risk Inputs'!$B$19))*(1+'Risk Inputs'!$B$19))*'Risk Inputs'!$B$20)-((('Risk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Inputs'!$B$19))*$H18)-(((('Risk Inputs'!$B$4*(1+'Risk Inputs'!$B$19))*(1+'Risk Inputs'!$B$19))*'Risk Inputs'!$B$24)-(('Risk Inputs'!$B$4*(1+'Risk Inputs'!$B$19))*'Risk Inputs'!$B$24)))/(1+'Risk Inputs'!$B$26)^2)+(((((((('Risk Inputs'!$B$4*(1+'Risk Inputs'!$B$19))*(1+'Risk Inputs'!$B$19))*(1+'Risk Inputs'!$B$19))*'Risk Inputs'!$B$20)-(((('Risk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Inputs'!$B$19))*$H18)-((((('Risk Inputs'!$B$4*(1+'Risk Inputs'!$B$19))*(1+'Risk Inputs'!$B$19))*(1+'Risk Inputs'!$B$19))*'Risk Inputs'!$B$24)-((('Risk Inputs'!$B$4*(1+'Risk Inputs'!$B$19))*(1+'Risk Inputs'!$B$19))*'Risk Inputs'!$B$24)))/(1+'Risk Inputs'!$B$26)^3)+((((((((('Risk Inputs'!$B$4*(1+'Risk Inputs'!$B$19))*(1+'Risk Inputs'!$B$19))*(1+'Risk Inputs'!$B$19))*(1+'Risk Inputs'!$B$19))*'Risk Inputs'!$B$20)-((((('Risk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Inputs'!$B$19))*$H18)-(((((('Risk Inputs'!$B$4*(1+'Risk Inputs'!$B$19))*(1+'Risk Inputs'!$B$19))*(1+'Risk Inputs'!$B$19))*(1+'Risk Inputs'!$B$19))*'Risk Inputs'!$B$24)-(((('Risk Inputs'!$B$4*(1+'Risk Inputs'!$B$19))*(1+'Risk Inputs'!$B$19))*(1+'Risk Inputs'!$B$19))*'Risk Inputs'!$B$24)))/(1+'Risk Inputs'!$B$26)^4)+(((((((((('Risk Inputs'!$B$4*(1+'Risk Inputs'!$B$19))*(1+'Risk Inputs'!$B$19))*(1+'Risk Inputs'!$B$19))*(1+'Risk Inputs'!$B$19))*(1+'Risk Inputs'!$B$19))*'Risk Inputs'!$B$20)-(((((('Risk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Inputs'!$B$19))*$H18)-((((((('Risk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Inputs'!$B$24)))/(1+'Risk Inputs'!$B$26)^5)+((((((((((('Risk Inputs'!$B$4*(1+'Risk Inputs'!$B$19))*(1+'Risk Inputs'!$B$19))*(1+'Risk Inputs'!$B$19))*(1+'Risk Inputs'!$B$19))*(1+'Risk Inputs'!$B$19))*'Risk Inputs'!$B$20)-(((((('Risk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Inputs'!$B$19))*$H18)-((((((('Risk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Inputs'!$B$25)/('Risk Inputs'!$B$26-'Risk Inputs'!$B$25))/(1+'Risk Inputs'!$B$26)^5))+'Risk Inputs'!$B$13)/'Risk Inputs'!$B$14</f>
        <v>220.30905298077201</v>
      </c>
    </row>
    <row r="19" spans="1:10">
      <c r="A19" s="8">
        <v>0.02</v>
      </c>
      <c r="B19" s="9">
        <f>'Risk Inputs'!B12*A19</f>
        <v>137.97999999999999</v>
      </c>
      <c r="C19" s="11">
        <f>-(B19*(1-'Risk Inputs'!B21))/'Risk Inputs'!B14</f>
        <v>-0.28120923913043472</v>
      </c>
      <c r="H19" s="8">
        <v>4.4999999999999998E-2</v>
      </c>
      <c r="J19" s="10">
        <f>(((((((('Risk Inputs'!$B$4*(1+'Risk Inputs'!$B$19))*'Risk Inputs'!$B$20)-(('Risk Inputs'!$B$4*(1+'Risk Inputs'!$B$19))*'Risk Inputs'!$B$22))*(1-'Risk Inputs'!$B$21))+(('Risk Inputs'!$B$4*(1+'Risk Inputs'!$B$19))*'Risk Inputs'!$B$22)-(('Risk Inputs'!$B$4*(1+'Risk Inputs'!$B$19))*$H19)-((('Risk Inputs'!$B$4*(1+'Risk Inputs'!$B$19))*'Risk Inputs'!$B$24)-('Risk Inputs'!$B$4*'Risk Inputs'!$B$24)))/(1+'Risk Inputs'!$B$26)^1)+((((((('Risk Inputs'!$B$4*(1+'Risk Inputs'!$B$19))*(1+'Risk Inputs'!$B$19))*'Risk Inputs'!$B$20)-((('Risk Inputs'!$B$4*(1+'Risk Inputs'!$B$19))*(1+'Risk Inputs'!$B$19))*'Risk Inputs'!$B$22))*(1-'Risk Inputs'!$B$21))+((('Risk Inputs'!$B$4*(1+'Risk Inputs'!$B$19))*(1+'Risk Inputs'!$B$19))*'Risk Inputs'!$B$22)-((('Risk Inputs'!$B$4*(1+'Risk Inputs'!$B$19))*(1+'Risk Inputs'!$B$19))*$H19)-(((('Risk Inputs'!$B$4*(1+'Risk Inputs'!$B$19))*(1+'Risk Inputs'!$B$19))*'Risk Inputs'!$B$24)-(('Risk Inputs'!$B$4*(1+'Risk Inputs'!$B$19))*'Risk Inputs'!$B$24)))/(1+'Risk Inputs'!$B$26)^2)+(((((((('Risk Inputs'!$B$4*(1+'Risk Inputs'!$B$19))*(1+'Risk Inputs'!$B$19))*(1+'Risk Inputs'!$B$19))*'Risk Inputs'!$B$20)-(((('Risk Inputs'!$B$4*(1+'Risk Inputs'!$B$19))*(1+'Risk Inputs'!$B$19))*(1+'Risk Inputs'!$B$19))*'Risk Inputs'!$B$22))*(1-'Risk Inputs'!$B$21))+(((('Risk Inputs'!$B$4*(1+'Risk Inputs'!$B$19))*(1+'Risk Inputs'!$B$19))*(1+'Risk Inputs'!$B$19))*'Risk Inputs'!$B$22)-(((('Risk Inputs'!$B$4*(1+'Risk Inputs'!$B$19))*(1+'Risk Inputs'!$B$19))*(1+'Risk Inputs'!$B$19))*$H19)-((((('Risk Inputs'!$B$4*(1+'Risk Inputs'!$B$19))*(1+'Risk Inputs'!$B$19))*(1+'Risk Inputs'!$B$19))*'Risk Inputs'!$B$24)-((('Risk Inputs'!$B$4*(1+'Risk Inputs'!$B$19))*(1+'Risk Inputs'!$B$19))*'Risk Inputs'!$B$24)))/(1+'Risk Inputs'!$B$26)^3)+((((((((('Risk Inputs'!$B$4*(1+'Risk Inputs'!$B$19))*(1+'Risk Inputs'!$B$19))*(1+'Risk Inputs'!$B$19))*(1+'Risk Inputs'!$B$19))*'Risk Inputs'!$B$20)-((((('Risk Inputs'!$B$4*(1+'Risk Inputs'!$B$19))*(1+'Risk Inputs'!$B$19))*(1+'Risk Inputs'!$B$19))*(1+'Risk Inputs'!$B$19))*'Risk Inputs'!$B$22))*(1-'Risk Inputs'!$B$21))+((((('Risk Inputs'!$B$4*(1+'Risk Inputs'!$B$19))*(1+'Risk Inputs'!$B$19))*(1+'Risk Inputs'!$B$19))*(1+'Risk Inputs'!$B$19))*'Risk Inputs'!$B$22)-((((('Risk Inputs'!$B$4*(1+'Risk Inputs'!$B$19))*(1+'Risk Inputs'!$B$19))*(1+'Risk Inputs'!$B$19))*(1+'Risk Inputs'!$B$19))*$H19)-(((((('Risk Inputs'!$B$4*(1+'Risk Inputs'!$B$19))*(1+'Risk Inputs'!$B$19))*(1+'Risk Inputs'!$B$19))*(1+'Risk Inputs'!$B$19))*'Risk Inputs'!$B$24)-(((('Risk Inputs'!$B$4*(1+'Risk Inputs'!$B$19))*(1+'Risk Inputs'!$B$19))*(1+'Risk Inputs'!$B$19))*'Risk Inputs'!$B$24)))/(1+'Risk Inputs'!$B$26)^4)+(((((((((('Risk Inputs'!$B$4*(1+'Risk Inputs'!$B$19))*(1+'Risk Inputs'!$B$19))*(1+'Risk Inputs'!$B$19))*(1+'Risk Inputs'!$B$19))*(1+'Risk Inputs'!$B$19))*'Risk Inputs'!$B$20)-(((((('Risk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Inputs'!$B$19))*$H19)-((((((('Risk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Inputs'!$B$24)))/(1+'Risk Inputs'!$B$26)^5)+((((((((((('Risk Inputs'!$B$4*(1+'Risk Inputs'!$B$19))*(1+'Risk Inputs'!$B$19))*(1+'Risk Inputs'!$B$19))*(1+'Risk Inputs'!$B$19))*(1+'Risk Inputs'!$B$19))*'Risk Inputs'!$B$20)-(((((('Risk Inputs'!$B$4*(1+'Risk Inputs'!$B$19))*(1+'Risk Inputs'!$B$19))*(1+'Risk Inputs'!$B$19))*(1+'Risk Inputs'!$B$19))*(1+'Risk Inputs'!$B$19))*'Risk Inputs'!$B$22))*(1-'Risk Inputs'!$B$21))+(((((('Risk Inputs'!$B$4*(1+'Risk Inputs'!$B$19))*(1+'Risk Inputs'!$B$19))*(1+'Risk Inputs'!$B$19))*(1+'Risk Inputs'!$B$19))*(1+'Risk Inputs'!$B$19))*'Risk Inputs'!$B$22)-(((((('Risk Inputs'!$B$4*(1+'Risk Inputs'!$B$19))*(1+'Risk Inputs'!$B$19))*(1+'Risk Inputs'!$B$19))*(1+'Risk Inputs'!$B$19))*(1+'Risk Inputs'!$B$19))*$H19)-((((((('Risk Inputs'!$B$4*(1+'Risk Inputs'!$B$19))*(1+'Risk Inputs'!$B$19))*(1+'Risk Inputs'!$B$19))*(1+'Risk Inputs'!$B$19))*(1+'Risk Inputs'!$B$19))*'Risk Inputs'!$B$24)-((((('Risk Inputs'!$B$4*(1+'Risk Inputs'!$B$19))*(1+'Risk Inputs'!$B$19))*(1+'Risk Inputs'!$B$19))*(1+'Risk Inputs'!$B$19))*'Risk Inputs'!$B$24)))*(1+'Risk Inputs'!$B$25)/('Risk Inputs'!$B$26-'Risk Inputs'!$B$25))/(1+'Risk Inputs'!$B$26)^5))+'Risk Inputs'!$B$13)/'Risk Inputs'!$B$14</f>
        <v>201.1101024344978</v>
      </c>
    </row>
  </sheetData>
  <mergeCells count="6">
    <mergeCell ref="A1:O1"/>
    <mergeCell ref="A2:O2"/>
    <mergeCell ref="A4:F4"/>
    <mergeCell ref="H4:M4"/>
    <mergeCell ref="A13:F13"/>
    <mergeCell ref="H13:M13"/>
  </mergeCells>
  <conditionalFormatting sqref="B6:F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M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>
      <selection sqref="A1:H1"/>
    </sheetView>
  </sheetViews>
  <sheetFormatPr defaultRowHeight="13.8"/>
  <cols>
    <col min="1" max="1" width="25" customWidth="1"/>
    <col min="2" max="3" width="16" customWidth="1"/>
    <col min="4" max="4" width="20" customWidth="1"/>
    <col min="5" max="5" width="14" customWidth="1"/>
    <col min="6" max="7" width="18" customWidth="1"/>
    <col min="8" max="8" width="22" customWidth="1"/>
    <col min="9" max="10" width="18" customWidth="1"/>
    <col min="11" max="11" width="15" customWidth="1"/>
    <col min="12" max="12" width="20" customWidth="1"/>
    <col min="13" max="13" width="14" customWidth="1"/>
  </cols>
  <sheetData>
    <row r="1" spans="1:8">
      <c r="A1" s="28" t="s">
        <v>124</v>
      </c>
      <c r="B1" s="28"/>
      <c r="C1" s="28"/>
      <c r="D1" s="28"/>
      <c r="E1" s="28"/>
      <c r="F1" s="28"/>
      <c r="G1" s="28"/>
      <c r="H1" s="28"/>
    </row>
    <row r="3" spans="1:8">
      <c r="A3" s="13" t="s">
        <v>59</v>
      </c>
      <c r="B3" s="13" t="s">
        <v>60</v>
      </c>
      <c r="C3" s="13" t="s">
        <v>125</v>
      </c>
      <c r="D3" s="13" t="s">
        <v>126</v>
      </c>
      <c r="E3" s="13" t="s">
        <v>127</v>
      </c>
      <c r="F3" s="13" t="s">
        <v>128</v>
      </c>
      <c r="G3" s="13" t="s">
        <v>129</v>
      </c>
      <c r="H3" s="13" t="s">
        <v>130</v>
      </c>
    </row>
    <row r="4" spans="1:8">
      <c r="A4" t="s">
        <v>131</v>
      </c>
      <c r="B4" s="9">
        <f>'Risk Inputs'!B4</f>
        <v>83855</v>
      </c>
      <c r="C4" s="9">
        <f>B4*(1+'Scenario Manager'!B15)</f>
        <v>89724.85</v>
      </c>
      <c r="D4" s="9">
        <f>C4*(1+'Scenario Manager'!B15)</f>
        <v>96005.589500000016</v>
      </c>
      <c r="E4" s="9">
        <f>D4*(1+'Scenario Manager'!B15)</f>
        <v>102725.98076500003</v>
      </c>
      <c r="F4" s="9">
        <f>E4*(1+'Scenario Manager'!B15)</f>
        <v>109916.79941855004</v>
      </c>
      <c r="G4" s="9">
        <f>F4*(1+'Scenario Manager'!B15)</f>
        <v>117610.97537784855</v>
      </c>
      <c r="H4" t="s">
        <v>132</v>
      </c>
    </row>
    <row r="5" spans="1:8">
      <c r="A5" t="s">
        <v>32</v>
      </c>
      <c r="B5" s="8">
        <f>0</f>
        <v>0</v>
      </c>
      <c r="C5" s="8">
        <f>'Scenario Manager'!B15</f>
        <v>7.0000000000000007E-2</v>
      </c>
      <c r="D5" s="8">
        <f>'Scenario Manager'!B15</f>
        <v>7.0000000000000007E-2</v>
      </c>
      <c r="E5" s="8">
        <f>'Scenario Manager'!B15</f>
        <v>7.0000000000000007E-2</v>
      </c>
      <c r="F5" s="8">
        <f>'Scenario Manager'!B15</f>
        <v>7.0000000000000007E-2</v>
      </c>
      <c r="G5" s="8">
        <f>'Scenario Manager'!B15</f>
        <v>7.0000000000000007E-2</v>
      </c>
      <c r="H5" t="s">
        <v>133</v>
      </c>
    </row>
    <row r="6" spans="1:8">
      <c r="A6" t="s">
        <v>134</v>
      </c>
      <c r="B6" s="9">
        <f>'Risk Inputs'!B5</f>
        <v>10314</v>
      </c>
      <c r="C6" s="9">
        <f>C4*'Scenario Manager'!B16</f>
        <v>11215.606250000001</v>
      </c>
      <c r="D6" s="9">
        <f>D4*'Scenario Manager'!B16</f>
        <v>12000.698687500002</v>
      </c>
      <c r="E6" s="9">
        <f>E4*'Scenario Manager'!B16</f>
        <v>12840.747595625004</v>
      </c>
      <c r="F6" s="9">
        <f>F4*'Scenario Manager'!B16</f>
        <v>13739.599927318755</v>
      </c>
      <c r="G6" s="9">
        <f>G4*'Scenario Manager'!B16</f>
        <v>14701.371922231068</v>
      </c>
      <c r="H6" t="s">
        <v>135</v>
      </c>
    </row>
    <row r="7" spans="1:8">
      <c r="A7" t="s">
        <v>38</v>
      </c>
      <c r="B7" s="8">
        <f>'Risk Inputs'!B6</f>
        <v>0.12299803231769126</v>
      </c>
      <c r="C7" s="8">
        <f>'Scenario Manager'!B16</f>
        <v>0.125</v>
      </c>
      <c r="D7" s="8">
        <f>'Scenario Manager'!B16</f>
        <v>0.125</v>
      </c>
      <c r="E7" s="8">
        <f>'Scenario Manager'!B16</f>
        <v>0.125</v>
      </c>
      <c r="F7" s="8">
        <f>'Scenario Manager'!B16</f>
        <v>0.125</v>
      </c>
      <c r="G7" s="8">
        <f>'Scenario Manager'!B16</f>
        <v>0.125</v>
      </c>
      <c r="H7" t="s">
        <v>133</v>
      </c>
    </row>
    <row r="8" spans="1:8">
      <c r="A8" t="s">
        <v>71</v>
      </c>
      <c r="B8" s="9">
        <f>'Risk Inputs'!B8</f>
        <v>1945</v>
      </c>
      <c r="C8" s="9">
        <f>C4*'Risk Inputs'!B22</f>
        <v>2063.67155</v>
      </c>
      <c r="D8" s="9">
        <f>D4*'Risk Inputs'!B22</f>
        <v>2208.1285585000005</v>
      </c>
      <c r="E8" s="9">
        <f>E4*'Risk Inputs'!B22</f>
        <v>2362.6975575950005</v>
      </c>
      <c r="F8" s="9">
        <f>F4*'Risk Inputs'!B22</f>
        <v>2528.0863866266509</v>
      </c>
      <c r="G8" s="9">
        <f>G4*'Risk Inputs'!B22</f>
        <v>2705.0524336905164</v>
      </c>
      <c r="H8" t="s">
        <v>136</v>
      </c>
    </row>
    <row r="9" spans="1:8">
      <c r="A9" t="s">
        <v>137</v>
      </c>
      <c r="B9" s="9">
        <f t="shared" ref="B9:G9" si="0">B6-B8</f>
        <v>8369</v>
      </c>
      <c r="C9" s="9">
        <f t="shared" si="0"/>
        <v>9151.9347000000016</v>
      </c>
      <c r="D9" s="9">
        <f t="shared" si="0"/>
        <v>9792.5701290000015</v>
      </c>
      <c r="E9" s="9">
        <f t="shared" si="0"/>
        <v>10478.050038030004</v>
      </c>
      <c r="F9" s="9">
        <f t="shared" si="0"/>
        <v>11211.513540692104</v>
      </c>
      <c r="G9" s="9">
        <f t="shared" si="0"/>
        <v>11996.319488540552</v>
      </c>
      <c r="H9" t="s">
        <v>138</v>
      </c>
    </row>
    <row r="10" spans="1:8">
      <c r="A10" t="s">
        <v>139</v>
      </c>
      <c r="B10" s="9">
        <f>B9*'Risk Inputs'!B21</f>
        <v>2092.25</v>
      </c>
      <c r="C10" s="9">
        <f>C9*'Risk Inputs'!B21</f>
        <v>2287.9836750000004</v>
      </c>
      <c r="D10" s="9">
        <f>D9*'Risk Inputs'!B21</f>
        <v>2448.1425322500004</v>
      </c>
      <c r="E10" s="9">
        <f>E9*'Risk Inputs'!B21</f>
        <v>2619.5125095075009</v>
      </c>
      <c r="F10" s="9">
        <f>F9*'Risk Inputs'!B21</f>
        <v>2802.8783851730259</v>
      </c>
      <c r="G10" s="9">
        <f>G9*'Risk Inputs'!B21</f>
        <v>2999.079872135138</v>
      </c>
      <c r="H10" t="s">
        <v>140</v>
      </c>
    </row>
    <row r="11" spans="1:8">
      <c r="A11" t="s">
        <v>141</v>
      </c>
      <c r="B11" s="9">
        <f t="shared" ref="B11:G11" si="1">B9-B10</f>
        <v>6276.75</v>
      </c>
      <c r="C11" s="9">
        <f t="shared" si="1"/>
        <v>6863.9510250000012</v>
      </c>
      <c r="D11" s="9">
        <f t="shared" si="1"/>
        <v>7344.4275967500016</v>
      </c>
      <c r="E11" s="9">
        <f t="shared" si="1"/>
        <v>7858.5375285225027</v>
      </c>
      <c r="F11" s="9">
        <f t="shared" si="1"/>
        <v>8408.6351555190777</v>
      </c>
      <c r="G11" s="9">
        <f t="shared" si="1"/>
        <v>8997.2396164054135</v>
      </c>
      <c r="H11" t="s">
        <v>142</v>
      </c>
    </row>
    <row r="12" spans="1:8">
      <c r="A12" t="s">
        <v>143</v>
      </c>
      <c r="B12" s="9">
        <f>B4*'Risk Inputs'!B23</f>
        <v>2934.9250000000002</v>
      </c>
      <c r="C12" s="9">
        <f>C4*'Scenario Manager'!B18</f>
        <v>3140.3697500000003</v>
      </c>
      <c r="D12" s="9">
        <f>D4*'Scenario Manager'!B18</f>
        <v>3360.195632500001</v>
      </c>
      <c r="E12" s="9">
        <f>E4*'Scenario Manager'!B18</f>
        <v>3595.4093267750013</v>
      </c>
      <c r="F12" s="9">
        <f>F4*'Scenario Manager'!B18</f>
        <v>3847.0879796492518</v>
      </c>
      <c r="G12" s="9">
        <f>G4*'Scenario Manager'!B18</f>
        <v>4116.3841382246992</v>
      </c>
      <c r="H12" t="s">
        <v>144</v>
      </c>
    </row>
    <row r="13" spans="1:8">
      <c r="A13" t="s">
        <v>145</v>
      </c>
      <c r="B13" s="9">
        <f>B4*'Risk Inputs'!B24</f>
        <v>4612.0249999999996</v>
      </c>
      <c r="C13" s="9">
        <f>C4*'Risk Inputs'!B24</f>
        <v>4934.8667500000001</v>
      </c>
      <c r="D13" s="9">
        <f>D4*'Risk Inputs'!B24</f>
        <v>5280.3074225000009</v>
      </c>
      <c r="E13" s="9">
        <f>E4*'Risk Inputs'!B24</f>
        <v>5649.9289420750019</v>
      </c>
      <c r="F13" s="9">
        <f>F4*'Risk Inputs'!B24</f>
        <v>6045.4239680202527</v>
      </c>
      <c r="G13" s="9">
        <f>G4*'Risk Inputs'!B24</f>
        <v>6468.6036457816699</v>
      </c>
      <c r="H13" t="s">
        <v>146</v>
      </c>
    </row>
    <row r="14" spans="1:8">
      <c r="A14" t="s">
        <v>147</v>
      </c>
      <c r="B14" s="9">
        <f>0</f>
        <v>0</v>
      </c>
      <c r="C14" s="9">
        <f>C13-B13</f>
        <v>322.8417500000005</v>
      </c>
      <c r="D14" s="9">
        <f>D13-C13</f>
        <v>345.4406725000008</v>
      </c>
      <c r="E14" s="9">
        <f>E13-D13</f>
        <v>369.621519575001</v>
      </c>
      <c r="F14" s="9">
        <f>F13-E13</f>
        <v>395.49502594525075</v>
      </c>
      <c r="G14" s="9">
        <f>G13-F13</f>
        <v>423.17967776141722</v>
      </c>
      <c r="H14" t="s">
        <v>148</v>
      </c>
    </row>
    <row r="15" spans="1:8">
      <c r="A15" t="s">
        <v>149</v>
      </c>
      <c r="B15" s="9">
        <f>B11+B8-B13-B14</f>
        <v>3609.7250000000004</v>
      </c>
      <c r="C15" s="9">
        <f>C11+C8-C12-C14</f>
        <v>5464.4110750000009</v>
      </c>
      <c r="D15" s="9">
        <f>D11+D8-D12-D14</f>
        <v>5846.9198502500003</v>
      </c>
      <c r="E15" s="9">
        <f>E11+E8-E12-E14</f>
        <v>6256.2042397675013</v>
      </c>
      <c r="F15" s="9">
        <f>F11+F8-F12-F14</f>
        <v>6694.1385365512269</v>
      </c>
      <c r="G15" s="9">
        <f>G11+G8-G12-G14</f>
        <v>7162.7282341098135</v>
      </c>
      <c r="H15" t="s">
        <v>150</v>
      </c>
    </row>
    <row r="16" spans="1:8">
      <c r="A16" t="s">
        <v>151</v>
      </c>
      <c r="B16" s="8">
        <f>1</f>
        <v>1</v>
      </c>
      <c r="C16" s="8">
        <f>1/(1+'Scenario Manager'!B17)^1</f>
        <v>0.9009009009009008</v>
      </c>
      <c r="D16" s="8">
        <f>1/(1+'Scenario Manager'!B17)^2</f>
        <v>0.8116224332440547</v>
      </c>
      <c r="E16" s="8">
        <f>1/(1+'Scenario Manager'!B17)^3</f>
        <v>0.73119138130095018</v>
      </c>
      <c r="F16" s="8">
        <f>1/(1+'Scenario Manager'!B17)^4</f>
        <v>0.65873097414500015</v>
      </c>
      <c r="G16" s="8">
        <f>1/(1+'Scenario Manager'!B17)^5</f>
        <v>0.5934513280585586</v>
      </c>
      <c r="H16" t="s">
        <v>152</v>
      </c>
    </row>
    <row r="17" spans="1:8">
      <c r="A17" t="s">
        <v>153</v>
      </c>
      <c r="B17" s="9">
        <f t="shared" ref="B17:G17" si="2">B15*B16</f>
        <v>3609.7250000000004</v>
      </c>
      <c r="C17" s="9">
        <f t="shared" si="2"/>
        <v>4922.8928603603608</v>
      </c>
      <c r="D17" s="9">
        <f t="shared" si="2"/>
        <v>4745.491315842869</v>
      </c>
      <c r="E17" s="9">
        <f t="shared" si="2"/>
        <v>4574.4826197764605</v>
      </c>
      <c r="F17" s="9">
        <f t="shared" si="2"/>
        <v>4409.6363992439756</v>
      </c>
      <c r="G17" s="9">
        <f t="shared" si="2"/>
        <v>4250.7305830550031</v>
      </c>
      <c r="H17" t="s">
        <v>154</v>
      </c>
    </row>
    <row r="20" spans="1:8">
      <c r="A20" s="28" t="s">
        <v>155</v>
      </c>
      <c r="B20" s="28"/>
      <c r="C20" s="28"/>
      <c r="D20" s="28"/>
    </row>
    <row r="21" spans="1:8">
      <c r="A21" s="13" t="s">
        <v>59</v>
      </c>
      <c r="B21" s="13" t="s">
        <v>107</v>
      </c>
      <c r="C21" s="13" t="s">
        <v>61</v>
      </c>
      <c r="D21" s="13" t="s">
        <v>24</v>
      </c>
    </row>
    <row r="22" spans="1:8">
      <c r="A22" t="s">
        <v>156</v>
      </c>
      <c r="B22" s="9">
        <f>SUM(C17:G17)</f>
        <v>22903.233778278671</v>
      </c>
      <c r="C22" t="s">
        <v>64</v>
      </c>
    </row>
    <row r="23" spans="1:8">
      <c r="A23" t="s">
        <v>97</v>
      </c>
      <c r="B23" s="9">
        <f>G15*(1+'Risk Inputs'!B25)/('Scenario Manager'!B17-'Risk Inputs'!B25)</f>
        <v>106417.67662106008</v>
      </c>
      <c r="C23" t="s">
        <v>64</v>
      </c>
    </row>
    <row r="24" spans="1:8">
      <c r="A24" t="s">
        <v>157</v>
      </c>
      <c r="B24" s="9">
        <f>B23*G16</f>
        <v>63153.711519674325</v>
      </c>
      <c r="C24" t="s">
        <v>64</v>
      </c>
    </row>
    <row r="25" spans="1:8">
      <c r="A25" t="s">
        <v>158</v>
      </c>
      <c r="B25" s="9">
        <f>B22+B24</f>
        <v>86056.945297953003</v>
      </c>
      <c r="C25" t="s">
        <v>64</v>
      </c>
    </row>
    <row r="26" spans="1:8">
      <c r="A26" t="s">
        <v>159</v>
      </c>
      <c r="B26" s="9">
        <f>B25+'Risk Inputs'!B13</f>
        <v>88138.945297953003</v>
      </c>
      <c r="C26" t="s">
        <v>64</v>
      </c>
    </row>
    <row r="27" spans="1:8">
      <c r="A27" t="s">
        <v>160</v>
      </c>
      <c r="B27" s="10">
        <f>B26/'Risk Inputs'!B14</f>
        <v>239.50800352704621</v>
      </c>
      <c r="C27" t="s">
        <v>102</v>
      </c>
    </row>
  </sheetData>
  <mergeCells count="2">
    <mergeCell ref="A1:H1"/>
    <mergeCell ref="A20:D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selection sqref="A1:H1"/>
    </sheetView>
  </sheetViews>
  <sheetFormatPr defaultRowHeight="13.8"/>
  <cols>
    <col min="1" max="1" width="25" customWidth="1"/>
    <col min="2" max="3" width="16" customWidth="1"/>
    <col min="4" max="4" width="20" customWidth="1"/>
    <col min="5" max="5" width="14" customWidth="1"/>
    <col min="6" max="7" width="18" customWidth="1"/>
    <col min="8" max="8" width="22" customWidth="1"/>
    <col min="9" max="10" width="18" customWidth="1"/>
    <col min="11" max="11" width="15" customWidth="1"/>
    <col min="12" max="12" width="20" customWidth="1"/>
    <col min="13" max="13" width="14" customWidth="1"/>
  </cols>
  <sheetData>
    <row r="1" spans="1:8">
      <c r="A1" s="28" t="s">
        <v>161</v>
      </c>
      <c r="B1" s="28"/>
      <c r="C1" s="28"/>
      <c r="D1" s="28"/>
      <c r="E1" s="28"/>
      <c r="F1" s="28"/>
      <c r="G1" s="28"/>
      <c r="H1" s="28"/>
    </row>
    <row r="3" spans="1:8">
      <c r="A3" s="13" t="s">
        <v>59</v>
      </c>
      <c r="B3" s="13" t="s">
        <v>26</v>
      </c>
      <c r="C3" s="13" t="s">
        <v>162</v>
      </c>
      <c r="D3" s="13" t="s">
        <v>28</v>
      </c>
    </row>
    <row r="4" spans="1:8">
      <c r="A4" t="s">
        <v>99</v>
      </c>
      <c r="B4" s="9">
        <f>'Risk Inputs'!B26</f>
        <v>0.11</v>
      </c>
      <c r="C4" s="9">
        <f>B4+B6</f>
        <v>0.11</v>
      </c>
      <c r="D4" s="9">
        <f>C4-B4</f>
        <v>0</v>
      </c>
    </row>
    <row r="5" spans="1:8">
      <c r="A5" t="s">
        <v>105</v>
      </c>
      <c r="B5" s="8">
        <f>'Scenario Manager'!B19</f>
        <v>0</v>
      </c>
      <c r="C5" s="8">
        <f>B5</f>
        <v>0</v>
      </c>
      <c r="D5" s="8">
        <f>C5-B5</f>
        <v>0</v>
      </c>
    </row>
    <row r="6" spans="1:8">
      <c r="A6" t="s">
        <v>163</v>
      </c>
      <c r="B6" s="9">
        <f>'Risk Inputs'!B12*B5</f>
        <v>0</v>
      </c>
      <c r="C6" s="9">
        <f>B6</f>
        <v>0</v>
      </c>
      <c r="D6" s="9">
        <f>C6-B6</f>
        <v>0</v>
      </c>
    </row>
    <row r="7" spans="1:8">
      <c r="A7" t="s">
        <v>164</v>
      </c>
      <c r="B7" s="11">
        <f>-(B6*(1-'Risk Inputs'!B21))/'Risk Inputs'!B14</f>
        <v>0</v>
      </c>
      <c r="C7" s="11">
        <f>B7</f>
        <v>0</v>
      </c>
      <c r="D7" s="11">
        <f>C7-B7</f>
        <v>0</v>
      </c>
    </row>
    <row r="8" spans="1:8">
      <c r="A8" t="s">
        <v>165</v>
      </c>
      <c r="B8" s="11">
        <f>'Risk Inputs'!B27</f>
        <v>874</v>
      </c>
      <c r="C8" s="11">
        <f>B8</f>
        <v>874</v>
      </c>
      <c r="D8" s="11">
        <f>C8-B8</f>
        <v>0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>
      <selection sqref="A1:J1"/>
    </sheetView>
  </sheetViews>
  <sheetFormatPr defaultRowHeight="13.8"/>
  <cols>
    <col min="1" max="1" width="25" customWidth="1"/>
    <col min="2" max="3" width="16" customWidth="1"/>
    <col min="4" max="4" width="20" customWidth="1"/>
    <col min="5" max="5" width="14" customWidth="1"/>
    <col min="6" max="7" width="18" customWidth="1"/>
    <col min="8" max="8" width="22" customWidth="1"/>
    <col min="9" max="10" width="18" customWidth="1"/>
    <col min="11" max="11" width="15" customWidth="1"/>
    <col min="12" max="12" width="20" customWidth="1"/>
    <col min="13" max="13" width="14" customWidth="1"/>
  </cols>
  <sheetData>
    <row r="1" spans="1:10">
      <c r="A1" s="28" t="s">
        <v>166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7.6">
      <c r="A3" s="13" t="s">
        <v>167</v>
      </c>
      <c r="B3" s="13" t="s">
        <v>168</v>
      </c>
      <c r="C3" s="13" t="s">
        <v>169</v>
      </c>
      <c r="D3" s="13" t="s">
        <v>162</v>
      </c>
      <c r="E3" s="13" t="s">
        <v>170</v>
      </c>
      <c r="F3" s="13" t="s">
        <v>171</v>
      </c>
      <c r="G3" s="13" t="s">
        <v>172</v>
      </c>
      <c r="H3" s="13" t="s">
        <v>173</v>
      </c>
      <c r="I3" s="13" t="s">
        <v>174</v>
      </c>
      <c r="J3" s="13" t="s">
        <v>175</v>
      </c>
    </row>
    <row r="4" spans="1:10" ht="69">
      <c r="A4" s="12" t="s">
        <v>176</v>
      </c>
      <c r="B4" s="12" t="s">
        <v>177</v>
      </c>
      <c r="C4" s="12" t="s">
        <v>32</v>
      </c>
      <c r="D4" s="12" t="s">
        <v>178</v>
      </c>
      <c r="E4" s="12" t="s">
        <v>35</v>
      </c>
      <c r="F4" s="12" t="s">
        <v>51</v>
      </c>
      <c r="G4" s="12" t="s">
        <v>35</v>
      </c>
      <c r="H4" s="12" t="s">
        <v>179</v>
      </c>
      <c r="I4" s="12" t="s">
        <v>180</v>
      </c>
      <c r="J4" s="12" t="s">
        <v>181</v>
      </c>
    </row>
    <row r="5" spans="1:10" ht="55.2">
      <c r="A5" s="12" t="s">
        <v>182</v>
      </c>
      <c r="B5" s="12" t="s">
        <v>183</v>
      </c>
      <c r="C5" s="12" t="s">
        <v>38</v>
      </c>
      <c r="D5" s="12" t="s">
        <v>178</v>
      </c>
      <c r="E5" s="12" t="s">
        <v>35</v>
      </c>
      <c r="F5" s="12" t="s">
        <v>51</v>
      </c>
      <c r="G5" s="12" t="s">
        <v>35</v>
      </c>
      <c r="H5" s="12" t="s">
        <v>184</v>
      </c>
      <c r="I5" s="12" t="s">
        <v>185</v>
      </c>
      <c r="J5" s="12" t="s">
        <v>186</v>
      </c>
    </row>
    <row r="6" spans="1:10" ht="41.4">
      <c r="A6" s="12" t="s">
        <v>187</v>
      </c>
      <c r="B6" s="12" t="s">
        <v>188</v>
      </c>
      <c r="C6" s="12" t="s">
        <v>189</v>
      </c>
      <c r="D6" s="12" t="s">
        <v>190</v>
      </c>
      <c r="E6" s="12" t="s">
        <v>51</v>
      </c>
      <c r="F6" s="12" t="s">
        <v>51</v>
      </c>
      <c r="G6" s="12" t="s">
        <v>35</v>
      </c>
      <c r="H6" s="12" t="s">
        <v>191</v>
      </c>
      <c r="I6" s="12" t="s">
        <v>192</v>
      </c>
      <c r="J6" s="12" t="s">
        <v>193</v>
      </c>
    </row>
    <row r="7" spans="1:10" ht="41.4">
      <c r="A7" s="12" t="s">
        <v>194</v>
      </c>
      <c r="B7" s="12" t="s">
        <v>195</v>
      </c>
      <c r="C7" s="12" t="s">
        <v>196</v>
      </c>
      <c r="D7" s="12" t="s">
        <v>178</v>
      </c>
      <c r="E7" s="12" t="s">
        <v>51</v>
      </c>
      <c r="F7" s="12" t="s">
        <v>51</v>
      </c>
      <c r="G7" s="12" t="s">
        <v>51</v>
      </c>
      <c r="H7" s="12" t="s">
        <v>197</v>
      </c>
      <c r="I7" s="12" t="s">
        <v>198</v>
      </c>
      <c r="J7" s="12" t="s">
        <v>199</v>
      </c>
    </row>
    <row r="8" spans="1:10" ht="55.2">
      <c r="A8" s="12" t="s">
        <v>200</v>
      </c>
      <c r="B8" s="12" t="s">
        <v>201</v>
      </c>
      <c r="C8" s="12" t="s">
        <v>196</v>
      </c>
      <c r="D8" s="12" t="s">
        <v>178</v>
      </c>
      <c r="E8" s="12" t="s">
        <v>35</v>
      </c>
      <c r="F8" s="12" t="s">
        <v>51</v>
      </c>
      <c r="G8" s="12" t="s">
        <v>35</v>
      </c>
      <c r="H8" s="12" t="s">
        <v>202</v>
      </c>
      <c r="I8" s="12" t="s">
        <v>203</v>
      </c>
      <c r="J8" s="12" t="s">
        <v>204</v>
      </c>
    </row>
    <row r="9" spans="1:10" ht="69">
      <c r="A9" s="12" t="s">
        <v>205</v>
      </c>
      <c r="B9" s="12" t="s">
        <v>206</v>
      </c>
      <c r="C9" s="12" t="s">
        <v>9</v>
      </c>
      <c r="D9" s="12" t="s">
        <v>190</v>
      </c>
      <c r="E9" s="12" t="s">
        <v>51</v>
      </c>
      <c r="F9" s="12" t="s">
        <v>51</v>
      </c>
      <c r="G9" s="12" t="s">
        <v>51</v>
      </c>
      <c r="H9" s="12" t="s">
        <v>207</v>
      </c>
      <c r="I9" s="12" t="s">
        <v>208</v>
      </c>
      <c r="J9" s="12" t="s">
        <v>209</v>
      </c>
    </row>
    <row r="10" spans="1:10" ht="41.4">
      <c r="A10" s="12" t="s">
        <v>95</v>
      </c>
      <c r="B10" s="12" t="s">
        <v>210</v>
      </c>
      <c r="C10" s="12" t="s">
        <v>94</v>
      </c>
      <c r="D10" s="12" t="s">
        <v>190</v>
      </c>
      <c r="E10" s="12" t="s">
        <v>51</v>
      </c>
      <c r="F10" s="12" t="s">
        <v>51</v>
      </c>
      <c r="G10" s="12" t="s">
        <v>51</v>
      </c>
      <c r="H10" s="12" t="s">
        <v>207</v>
      </c>
      <c r="I10" s="12" t="s">
        <v>211</v>
      </c>
      <c r="J10" s="12" t="s">
        <v>212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>
      <selection sqref="A1:F1"/>
    </sheetView>
  </sheetViews>
  <sheetFormatPr defaultRowHeight="13.8"/>
  <cols>
    <col min="1" max="1" width="25" customWidth="1"/>
    <col min="2" max="3" width="16" customWidth="1"/>
    <col min="4" max="4" width="20" customWidth="1"/>
    <col min="5" max="5" width="14" customWidth="1"/>
    <col min="6" max="7" width="18" customWidth="1"/>
    <col min="8" max="8" width="22" customWidth="1"/>
    <col min="9" max="10" width="18" customWidth="1"/>
    <col min="11" max="11" width="15" customWidth="1"/>
    <col min="12" max="12" width="20" customWidth="1"/>
    <col min="13" max="13" width="14" customWidth="1"/>
  </cols>
  <sheetData>
    <row r="1" spans="1:6">
      <c r="A1" s="28" t="s">
        <v>213</v>
      </c>
      <c r="B1" s="28"/>
      <c r="C1" s="28"/>
      <c r="D1" s="28"/>
      <c r="E1" s="28"/>
      <c r="F1" s="28"/>
    </row>
    <row r="3" spans="1:6">
      <c r="A3" s="13" t="s">
        <v>214</v>
      </c>
      <c r="B3" s="13" t="s">
        <v>62</v>
      </c>
      <c r="C3" s="13" t="s">
        <v>84</v>
      </c>
      <c r="D3" s="13" t="s">
        <v>215</v>
      </c>
      <c r="E3" s="13" t="s">
        <v>216</v>
      </c>
      <c r="F3" s="13" t="s">
        <v>217</v>
      </c>
    </row>
    <row r="4" spans="1:6" ht="41.4">
      <c r="A4" s="12">
        <v>1</v>
      </c>
      <c r="B4" s="12" t="s">
        <v>218</v>
      </c>
      <c r="C4" s="12" t="s">
        <v>219</v>
      </c>
      <c r="D4" s="12" t="s">
        <v>220</v>
      </c>
      <c r="E4" s="12" t="s">
        <v>221</v>
      </c>
      <c r="F4" s="12" t="s">
        <v>222</v>
      </c>
    </row>
    <row r="5" spans="1:6" ht="55.2">
      <c r="A5" s="12">
        <v>2</v>
      </c>
      <c r="B5" s="12" t="s">
        <v>223</v>
      </c>
      <c r="C5" s="12" t="s">
        <v>224</v>
      </c>
      <c r="D5" s="12" t="s">
        <v>225</v>
      </c>
      <c r="E5" s="12" t="s">
        <v>221</v>
      </c>
      <c r="F5" s="12" t="s">
        <v>226</v>
      </c>
    </row>
    <row r="6" spans="1:6" ht="41.4">
      <c r="A6" s="12">
        <v>3</v>
      </c>
      <c r="B6" s="12" t="s">
        <v>227</v>
      </c>
      <c r="C6" s="12" t="s">
        <v>228</v>
      </c>
      <c r="D6" s="12" t="s">
        <v>229</v>
      </c>
      <c r="E6" s="12" t="s">
        <v>230</v>
      </c>
      <c r="F6" s="12" t="s">
        <v>231</v>
      </c>
    </row>
    <row r="7" spans="1:6" ht="41.4">
      <c r="A7" s="12">
        <v>4</v>
      </c>
      <c r="B7" s="12" t="s">
        <v>232</v>
      </c>
      <c r="C7" s="12" t="s">
        <v>233</v>
      </c>
      <c r="D7" s="12" t="s">
        <v>234</v>
      </c>
      <c r="E7" s="12" t="s">
        <v>235</v>
      </c>
      <c r="F7" s="12" t="s">
        <v>236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workbookViewId="0">
      <selection sqref="A1:H1"/>
    </sheetView>
  </sheetViews>
  <sheetFormatPr defaultRowHeight="13.8"/>
  <cols>
    <col min="1" max="1" width="24" customWidth="1"/>
    <col min="2" max="8" width="19" customWidth="1"/>
  </cols>
  <sheetData>
    <row r="1" spans="1:8" ht="17.399999999999999">
      <c r="A1" s="32" t="s">
        <v>237</v>
      </c>
      <c r="B1" s="32"/>
      <c r="C1" s="32"/>
      <c r="D1" s="32"/>
      <c r="E1" s="32"/>
      <c r="F1" s="32"/>
      <c r="G1" s="32"/>
      <c r="H1" s="32"/>
    </row>
    <row r="2" spans="1:8" ht="14.4">
      <c r="A2" s="33" t="s">
        <v>238</v>
      </c>
      <c r="B2" s="33"/>
      <c r="C2" s="33"/>
      <c r="D2" s="33"/>
      <c r="E2" s="33"/>
      <c r="F2" s="33"/>
      <c r="G2" s="33"/>
      <c r="H2" s="33"/>
    </row>
    <row r="4" spans="1:8">
      <c r="A4" s="34" t="s">
        <v>239</v>
      </c>
      <c r="B4" s="34"/>
      <c r="C4" s="34"/>
      <c r="D4" s="34"/>
      <c r="E4" s="34"/>
      <c r="F4" s="34"/>
      <c r="G4" s="34"/>
      <c r="H4" s="34"/>
    </row>
    <row r="5" spans="1:8">
      <c r="A5" s="16" t="s">
        <v>59</v>
      </c>
      <c r="B5" s="16" t="s">
        <v>60</v>
      </c>
      <c r="C5" s="16" t="s">
        <v>240</v>
      </c>
      <c r="D5" s="16" t="s">
        <v>241</v>
      </c>
      <c r="E5" s="16" t="s">
        <v>242</v>
      </c>
      <c r="F5" s="16" t="s">
        <v>62</v>
      </c>
      <c r="G5" s="16" t="s">
        <v>243</v>
      </c>
      <c r="H5" s="16" t="s">
        <v>217</v>
      </c>
    </row>
    <row r="6" spans="1:8" ht="27.6">
      <c r="A6" s="12" t="s">
        <v>63</v>
      </c>
      <c r="B6" s="17">
        <v>83855</v>
      </c>
      <c r="C6" s="17">
        <v>58217</v>
      </c>
      <c r="D6" s="18">
        <f t="shared" ref="D6:D14" si="0">B6/$B$6</f>
        <v>1</v>
      </c>
      <c r="E6" s="12" t="s">
        <v>244</v>
      </c>
      <c r="F6" s="12" t="s">
        <v>245</v>
      </c>
      <c r="G6" s="12" t="s">
        <v>246</v>
      </c>
      <c r="H6" s="12" t="s">
        <v>247</v>
      </c>
    </row>
    <row r="7" spans="1:8" ht="27.6">
      <c r="A7" s="12" t="s">
        <v>66</v>
      </c>
      <c r="B7" s="17">
        <v>10314</v>
      </c>
      <c r="C7" s="17">
        <v>6595</v>
      </c>
      <c r="D7" s="18">
        <f t="shared" si="0"/>
        <v>0.12299803231769126</v>
      </c>
      <c r="E7" s="12" t="s">
        <v>248</v>
      </c>
      <c r="F7" s="12" t="s">
        <v>249</v>
      </c>
      <c r="G7" s="12" t="s">
        <v>250</v>
      </c>
      <c r="H7" s="12" t="s">
        <v>251</v>
      </c>
    </row>
    <row r="8" spans="1:8" ht="27.6">
      <c r="A8" s="12" t="s">
        <v>70</v>
      </c>
      <c r="B8" s="17">
        <v>8538</v>
      </c>
      <c r="C8" s="17">
        <v>5030</v>
      </c>
      <c r="D8" s="18">
        <f t="shared" si="0"/>
        <v>0.10181861546717548</v>
      </c>
      <c r="E8" s="12" t="s">
        <v>252</v>
      </c>
      <c r="F8" s="12" t="s">
        <v>249</v>
      </c>
      <c r="G8" s="12" t="s">
        <v>253</v>
      </c>
      <c r="H8" s="12" t="s">
        <v>254</v>
      </c>
    </row>
    <row r="9" spans="1:8" ht="27.6">
      <c r="A9" s="12" t="s">
        <v>255</v>
      </c>
      <c r="B9" s="17">
        <v>3030</v>
      </c>
      <c r="C9" s="17">
        <v>3195</v>
      </c>
      <c r="D9" s="18">
        <f t="shared" si="0"/>
        <v>3.6133802396994812E-2</v>
      </c>
      <c r="E9" s="12" t="s">
        <v>256</v>
      </c>
      <c r="F9" s="12" t="s">
        <v>245</v>
      </c>
      <c r="G9" s="12" t="s">
        <v>257</v>
      </c>
      <c r="H9" s="12" t="s">
        <v>247</v>
      </c>
    </row>
    <row r="10" spans="1:8" ht="27.6">
      <c r="A10" s="12" t="s">
        <v>72</v>
      </c>
      <c r="B10" s="17">
        <v>14981</v>
      </c>
      <c r="C10" s="17">
        <v>8547</v>
      </c>
      <c r="D10" s="18">
        <f t="shared" si="0"/>
        <v>0.17865362828692385</v>
      </c>
      <c r="E10" s="12" t="s">
        <v>258</v>
      </c>
      <c r="F10" s="12" t="s">
        <v>259</v>
      </c>
      <c r="G10" s="12" t="s">
        <v>95</v>
      </c>
      <c r="H10" s="12" t="s">
        <v>260</v>
      </c>
    </row>
    <row r="11" spans="1:8" ht="27.6">
      <c r="A11" s="12" t="s">
        <v>73</v>
      </c>
      <c r="B11" s="17">
        <v>12438</v>
      </c>
      <c r="C11" s="17">
        <v>5880</v>
      </c>
      <c r="D11" s="18">
        <f t="shared" si="0"/>
        <v>0.14832747003756486</v>
      </c>
      <c r="E11" s="12" t="s">
        <v>261</v>
      </c>
      <c r="F11" s="12" t="s">
        <v>262</v>
      </c>
      <c r="G11" s="12" t="s">
        <v>263</v>
      </c>
      <c r="H11" s="12" t="s">
        <v>264</v>
      </c>
    </row>
    <row r="12" spans="1:8" ht="27.6">
      <c r="A12" s="12" t="s">
        <v>74</v>
      </c>
      <c r="B12" s="17">
        <v>4817</v>
      </c>
      <c r="C12" s="17">
        <v>9156</v>
      </c>
      <c r="D12" s="18">
        <f t="shared" si="0"/>
        <v>5.7444398068093733E-2</v>
      </c>
      <c r="E12" s="12" t="s">
        <v>265</v>
      </c>
      <c r="F12" s="12" t="s">
        <v>266</v>
      </c>
      <c r="G12" s="12" t="s">
        <v>267</v>
      </c>
      <c r="H12" s="12" t="s">
        <v>268</v>
      </c>
    </row>
    <row r="13" spans="1:8" ht="27.6">
      <c r="A13" s="12" t="s">
        <v>269</v>
      </c>
      <c r="B13" s="17">
        <v>6899</v>
      </c>
      <c r="C13" s="17">
        <v>1033</v>
      </c>
      <c r="D13" s="18">
        <f t="shared" si="0"/>
        <v>8.2272971200286205E-2</v>
      </c>
      <c r="E13" s="12" t="s">
        <v>270</v>
      </c>
      <c r="F13" s="12" t="s">
        <v>271</v>
      </c>
      <c r="G13" s="12" t="s">
        <v>272</v>
      </c>
      <c r="H13" s="12" t="s">
        <v>273</v>
      </c>
    </row>
    <row r="14" spans="1:8" ht="27.6">
      <c r="A14" s="12" t="s">
        <v>274</v>
      </c>
      <c r="B14" s="17">
        <v>12734</v>
      </c>
      <c r="C14" s="17">
        <v>10533</v>
      </c>
      <c r="D14" s="18">
        <f t="shared" si="0"/>
        <v>0.15185737284598413</v>
      </c>
      <c r="E14" s="12" t="s">
        <v>275</v>
      </c>
      <c r="F14" s="12" t="s">
        <v>271</v>
      </c>
      <c r="G14" s="12" t="s">
        <v>275</v>
      </c>
      <c r="H14" s="12" t="s">
        <v>276</v>
      </c>
    </row>
    <row r="16" spans="1:8">
      <c r="A16" s="34" t="s">
        <v>277</v>
      </c>
      <c r="B16" s="34"/>
      <c r="C16" s="34"/>
      <c r="D16" s="34"/>
      <c r="E16" s="34"/>
      <c r="F16" s="34"/>
      <c r="G16" s="34"/>
      <c r="H16" s="34"/>
    </row>
    <row r="17" spans="1:8">
      <c r="A17" s="16" t="s">
        <v>59</v>
      </c>
      <c r="B17" s="16" t="s">
        <v>60</v>
      </c>
      <c r="C17" s="16" t="s">
        <v>278</v>
      </c>
      <c r="D17" s="16" t="s">
        <v>279</v>
      </c>
      <c r="E17" s="16" t="s">
        <v>62</v>
      </c>
      <c r="F17" s="16" t="s">
        <v>243</v>
      </c>
      <c r="G17" s="16"/>
      <c r="H17" s="16"/>
    </row>
    <row r="18" spans="1:8" ht="41.4">
      <c r="A18" s="12" t="s">
        <v>280</v>
      </c>
      <c r="B18" s="19">
        <v>0.38</v>
      </c>
      <c r="C18" s="12" t="s">
        <v>281</v>
      </c>
      <c r="D18" s="12" t="s">
        <v>282</v>
      </c>
      <c r="E18" s="12" t="s">
        <v>283</v>
      </c>
      <c r="F18" s="12" t="s">
        <v>284</v>
      </c>
      <c r="G18" s="12"/>
      <c r="H18" s="12"/>
    </row>
    <row r="19" spans="1:8" ht="27.6">
      <c r="A19" s="12" t="s">
        <v>285</v>
      </c>
      <c r="B19" s="19">
        <v>10.65</v>
      </c>
      <c r="C19" s="12" t="s">
        <v>281</v>
      </c>
      <c r="D19" s="12" t="s">
        <v>286</v>
      </c>
      <c r="E19" s="12" t="s">
        <v>283</v>
      </c>
      <c r="F19" s="12" t="s">
        <v>284</v>
      </c>
      <c r="G19" s="12"/>
      <c r="H19" s="12"/>
    </row>
    <row r="20" spans="1:8" ht="27.6">
      <c r="A20" s="12" t="s">
        <v>287</v>
      </c>
      <c r="B20" s="19">
        <v>0.76</v>
      </c>
      <c r="C20" s="12" t="s">
        <v>281</v>
      </c>
      <c r="D20" s="12" t="s">
        <v>288</v>
      </c>
      <c r="E20" s="12" t="s">
        <v>283</v>
      </c>
      <c r="F20" s="12" t="s">
        <v>289</v>
      </c>
      <c r="G20" s="12"/>
      <c r="H20" s="12"/>
    </row>
    <row r="21" spans="1:8">
      <c r="A21" s="12" t="s">
        <v>290</v>
      </c>
      <c r="B21" s="18">
        <v>0.1235</v>
      </c>
      <c r="C21" s="12" t="s">
        <v>68</v>
      </c>
      <c r="D21" s="12" t="s">
        <v>291</v>
      </c>
      <c r="E21" s="12" t="s">
        <v>283</v>
      </c>
      <c r="F21" s="12" t="s">
        <v>292</v>
      </c>
      <c r="G21" s="12"/>
      <c r="H21" s="12"/>
    </row>
    <row r="22" spans="1:8" ht="27.6">
      <c r="A22" s="12" t="s">
        <v>293</v>
      </c>
      <c r="B22" s="18">
        <v>3.61E-2</v>
      </c>
      <c r="C22" s="12" t="s">
        <v>68</v>
      </c>
      <c r="D22" s="12" t="s">
        <v>294</v>
      </c>
      <c r="E22" s="12" t="s">
        <v>283</v>
      </c>
      <c r="F22" s="12" t="s">
        <v>295</v>
      </c>
      <c r="G22" s="12"/>
      <c r="H22" s="12"/>
    </row>
    <row r="23" spans="1:8" ht="27.6">
      <c r="A23" s="12" t="s">
        <v>296</v>
      </c>
      <c r="B23" s="17">
        <v>13713</v>
      </c>
      <c r="C23" s="12" t="s">
        <v>64</v>
      </c>
      <c r="D23" s="12" t="s">
        <v>297</v>
      </c>
      <c r="E23" s="12" t="s">
        <v>298</v>
      </c>
      <c r="F23" s="12" t="s">
        <v>299</v>
      </c>
      <c r="G23" s="12"/>
      <c r="H23" s="12"/>
    </row>
  </sheetData>
  <mergeCells count="4">
    <mergeCell ref="A1:H1"/>
    <mergeCell ref="A2:H2"/>
    <mergeCell ref="A4:H4"/>
    <mergeCell ref="A16:H1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workbookViewId="0">
      <selection sqref="A1:H1"/>
    </sheetView>
  </sheetViews>
  <sheetFormatPr defaultRowHeight="13.8"/>
  <cols>
    <col min="1" max="1" width="25" customWidth="1"/>
    <col min="2" max="8" width="18" customWidth="1"/>
  </cols>
  <sheetData>
    <row r="1" spans="1:8" ht="17.399999999999999">
      <c r="A1" s="32" t="s">
        <v>300</v>
      </c>
      <c r="B1" s="32"/>
      <c r="C1" s="32"/>
      <c r="D1" s="32"/>
      <c r="E1" s="32"/>
      <c r="F1" s="32"/>
      <c r="G1" s="32"/>
      <c r="H1" s="32"/>
    </row>
    <row r="3" spans="1:8">
      <c r="A3" s="34" t="s">
        <v>301</v>
      </c>
      <c r="B3" s="34"/>
      <c r="C3" s="34"/>
      <c r="D3" s="34"/>
      <c r="E3" s="34"/>
      <c r="F3" s="34"/>
      <c r="G3" s="34"/>
      <c r="H3" s="34"/>
    </row>
    <row r="4" spans="1:8">
      <c r="A4" s="16" t="s">
        <v>302</v>
      </c>
      <c r="B4" s="16" t="s">
        <v>60</v>
      </c>
      <c r="C4" s="16" t="s">
        <v>303</v>
      </c>
      <c r="D4" s="16" t="s">
        <v>304</v>
      </c>
      <c r="E4" s="16" t="s">
        <v>305</v>
      </c>
      <c r="F4" s="16" t="s">
        <v>306</v>
      </c>
      <c r="G4" s="16" t="s">
        <v>62</v>
      </c>
      <c r="H4" s="16" t="s">
        <v>217</v>
      </c>
    </row>
    <row r="5" spans="1:8" ht="27.6">
      <c r="A5" s="12" t="s">
        <v>307</v>
      </c>
      <c r="B5" s="17">
        <v>128292</v>
      </c>
      <c r="C5" s="17">
        <v>113406</v>
      </c>
      <c r="D5" s="18">
        <f>B5/C5-1</f>
        <v>0.1312628961430613</v>
      </c>
      <c r="E5" s="18">
        <f>B5/$B$9</f>
        <v>0.29477031526077196</v>
      </c>
      <c r="F5" s="12" t="s">
        <v>308</v>
      </c>
      <c r="G5" s="12" t="s">
        <v>309</v>
      </c>
      <c r="H5" s="12" t="s">
        <v>310</v>
      </c>
    </row>
    <row r="6" spans="1:8" ht="27.6">
      <c r="A6" s="12" t="s">
        <v>311</v>
      </c>
      <c r="B6" s="17">
        <v>86224</v>
      </c>
      <c r="C6" s="17">
        <v>71620</v>
      </c>
      <c r="D6" s="18">
        <f>B6/C6-1</f>
        <v>0.20390952247975425</v>
      </c>
      <c r="E6" s="18">
        <f>B6/$B$9</f>
        <v>0.19811270900013098</v>
      </c>
      <c r="F6" s="12" t="s">
        <v>312</v>
      </c>
      <c r="G6" s="12" t="s">
        <v>309</v>
      </c>
      <c r="H6" s="12"/>
    </row>
    <row r="7" spans="1:8" ht="27.6">
      <c r="A7" s="12" t="s">
        <v>313</v>
      </c>
      <c r="B7" s="17">
        <v>159398</v>
      </c>
      <c r="C7" s="17">
        <v>144283</v>
      </c>
      <c r="D7" s="18">
        <f>B7/C7-1</f>
        <v>0.10475939646389398</v>
      </c>
      <c r="E7" s="18">
        <f>B7/$B$9</f>
        <v>0.3662410650074559</v>
      </c>
      <c r="F7" s="12" t="s">
        <v>314</v>
      </c>
      <c r="G7" s="12" t="s">
        <v>309</v>
      </c>
      <c r="H7" s="12"/>
    </row>
    <row r="8" spans="1:8" ht="27.6">
      <c r="A8" s="12" t="s">
        <v>315</v>
      </c>
      <c r="B8" s="17">
        <v>61313</v>
      </c>
      <c r="C8" s="17">
        <v>55395</v>
      </c>
      <c r="D8" s="18">
        <f>B8/C8-1</f>
        <v>0.10683274663778319</v>
      </c>
      <c r="E8" s="18">
        <f>B8/$B$9</f>
        <v>0.14087591073164119</v>
      </c>
      <c r="F8" s="12" t="s">
        <v>316</v>
      </c>
      <c r="G8" s="12" t="s">
        <v>309</v>
      </c>
      <c r="H8" s="12"/>
    </row>
    <row r="9" spans="1:8" ht="27.6">
      <c r="A9" s="12" t="s">
        <v>317</v>
      </c>
      <c r="B9" s="17">
        <v>435227</v>
      </c>
      <c r="C9" s="17">
        <v>384704</v>
      </c>
      <c r="D9" s="18">
        <f>B9/C9-1</f>
        <v>0.13132954167359845</v>
      </c>
      <c r="E9" s="18">
        <v>1</v>
      </c>
      <c r="F9" s="12" t="s">
        <v>318</v>
      </c>
      <c r="G9" s="12" t="s">
        <v>309</v>
      </c>
      <c r="H9" s="12"/>
    </row>
    <row r="11" spans="1:8">
      <c r="A11" s="34" t="s">
        <v>319</v>
      </c>
      <c r="B11" s="34"/>
      <c r="C11" s="34"/>
      <c r="D11" s="34"/>
      <c r="E11" s="34"/>
      <c r="F11" s="34"/>
      <c r="G11" s="34"/>
      <c r="H11" s="34"/>
    </row>
    <row r="12" spans="1:8" ht="27.6">
      <c r="A12" s="16" t="s">
        <v>59</v>
      </c>
      <c r="B12" s="16" t="s">
        <v>60</v>
      </c>
      <c r="C12" s="16" t="s">
        <v>303</v>
      </c>
      <c r="D12" s="16" t="s">
        <v>320</v>
      </c>
      <c r="E12" s="16" t="s">
        <v>321</v>
      </c>
      <c r="F12" s="16" t="s">
        <v>62</v>
      </c>
      <c r="G12" s="16" t="s">
        <v>61</v>
      </c>
      <c r="H12" s="16" t="s">
        <v>217</v>
      </c>
    </row>
    <row r="13" spans="1:8" ht="27.6">
      <c r="A13" s="12" t="s">
        <v>322</v>
      </c>
      <c r="B13" s="18">
        <v>0.55000000000000004</v>
      </c>
      <c r="C13" s="18">
        <v>0.53900000000000003</v>
      </c>
      <c r="D13" s="18">
        <f>B13-C13</f>
        <v>1.100000000000001E-2</v>
      </c>
      <c r="E13" s="12" t="s">
        <v>323</v>
      </c>
      <c r="F13" s="12" t="s">
        <v>309</v>
      </c>
      <c r="G13" s="12" t="s">
        <v>68</v>
      </c>
      <c r="H13" s="12" t="s">
        <v>324</v>
      </c>
    </row>
    <row r="14" spans="1:8">
      <c r="A14" s="12" t="s">
        <v>325</v>
      </c>
      <c r="B14" s="18">
        <v>0.39500000000000002</v>
      </c>
      <c r="C14" s="18">
        <v>0.39300000000000002</v>
      </c>
      <c r="D14" s="18">
        <f>B14-C14</f>
        <v>2.0000000000000018E-3</v>
      </c>
      <c r="E14" s="12" t="s">
        <v>326</v>
      </c>
      <c r="F14" s="12" t="s">
        <v>309</v>
      </c>
      <c r="G14" s="12" t="s">
        <v>68</v>
      </c>
      <c r="H14" s="12"/>
    </row>
    <row r="15" spans="1:8" ht="27.6">
      <c r="A15" s="12" t="s">
        <v>327</v>
      </c>
      <c r="B15" s="18">
        <v>0.26800000000000002</v>
      </c>
      <c r="C15" s="18">
        <v>0.28999999999999998</v>
      </c>
      <c r="D15" s="18">
        <f>B15-C15</f>
        <v>-2.1999999999999964E-2</v>
      </c>
      <c r="E15" s="12" t="s">
        <v>328</v>
      </c>
      <c r="F15" s="12" t="s">
        <v>309</v>
      </c>
      <c r="G15" s="12" t="s">
        <v>68</v>
      </c>
      <c r="H15" s="12"/>
    </row>
    <row r="16" spans="1:8" ht="27.6">
      <c r="A16" s="12" t="s">
        <v>329</v>
      </c>
      <c r="B16" s="18">
        <v>0.36399999999999999</v>
      </c>
      <c r="C16" s="18">
        <v>0.376</v>
      </c>
      <c r="D16" s="18">
        <f>B16-C16</f>
        <v>-1.2000000000000011E-2</v>
      </c>
      <c r="E16" s="12" t="s">
        <v>328</v>
      </c>
      <c r="F16" s="12" t="s">
        <v>309</v>
      </c>
      <c r="G16" s="12" t="s">
        <v>68</v>
      </c>
      <c r="H16" s="12"/>
    </row>
    <row r="17" spans="1:8" ht="27.6">
      <c r="A17" s="12" t="s">
        <v>330</v>
      </c>
      <c r="B17" s="18">
        <v>0.35699999999999998</v>
      </c>
      <c r="C17" s="18">
        <v>0.371</v>
      </c>
      <c r="D17" s="18">
        <f>B17-C17</f>
        <v>-1.4000000000000012E-2</v>
      </c>
      <c r="E17" s="12" t="s">
        <v>331</v>
      </c>
      <c r="F17" s="12" t="s">
        <v>309</v>
      </c>
      <c r="G17" s="12" t="s">
        <v>68</v>
      </c>
      <c r="H17" s="12"/>
    </row>
    <row r="18" spans="1:8" ht="27.6">
      <c r="A18" s="12" t="s">
        <v>332</v>
      </c>
      <c r="B18" s="18">
        <v>0.53900000000000003</v>
      </c>
      <c r="C18" s="18"/>
      <c r="D18" s="18"/>
      <c r="E18" s="12" t="s">
        <v>333</v>
      </c>
      <c r="F18" s="12" t="s">
        <v>334</v>
      </c>
      <c r="G18" s="12" t="s">
        <v>68</v>
      </c>
      <c r="H18" s="12" t="s">
        <v>335</v>
      </c>
    </row>
    <row r="19" spans="1:8" ht="27.6">
      <c r="A19" s="12" t="s">
        <v>336</v>
      </c>
      <c r="B19" s="20">
        <v>7412</v>
      </c>
      <c r="C19" s="12"/>
      <c r="D19" s="12"/>
      <c r="E19" s="12" t="s">
        <v>337</v>
      </c>
      <c r="F19" s="12" t="s">
        <v>338</v>
      </c>
      <c r="G19" s="12" t="s">
        <v>339</v>
      </c>
      <c r="H19" s="12" t="s">
        <v>340</v>
      </c>
    </row>
  </sheetData>
  <mergeCells count="3">
    <mergeCell ref="A1:H1"/>
    <mergeCell ref="A3:H3"/>
    <mergeCell ref="A11:H1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"/>
  <sheetViews>
    <sheetView workbookViewId="0">
      <selection sqref="A1:J1"/>
    </sheetView>
  </sheetViews>
  <sheetFormatPr defaultRowHeight="13.8"/>
  <cols>
    <col min="1" max="1" width="23" customWidth="1"/>
    <col min="2" max="5" width="16" customWidth="1"/>
    <col min="6" max="10" width="22" customWidth="1"/>
  </cols>
  <sheetData>
    <row r="1" spans="1:10" ht="17.399999999999999">
      <c r="A1" s="32" t="s">
        <v>341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4.4">
      <c r="A2" s="33" t="s">
        <v>342</v>
      </c>
      <c r="B2" s="33"/>
      <c r="C2" s="33"/>
      <c r="D2" s="33"/>
      <c r="E2" s="33"/>
      <c r="F2" s="33"/>
      <c r="G2" s="33"/>
      <c r="H2" s="33"/>
      <c r="I2" s="33"/>
      <c r="J2" s="33"/>
    </row>
    <row r="4" spans="1:10">
      <c r="A4" s="34" t="s">
        <v>343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ht="27.6">
      <c r="A5" s="16" t="s">
        <v>167</v>
      </c>
      <c r="B5" s="16" t="s">
        <v>344</v>
      </c>
      <c r="C5" s="16" t="s">
        <v>345</v>
      </c>
      <c r="D5" s="16" t="s">
        <v>346</v>
      </c>
      <c r="E5" s="16" t="s">
        <v>347</v>
      </c>
      <c r="F5" s="16" t="s">
        <v>348</v>
      </c>
      <c r="G5" s="16" t="s">
        <v>170</v>
      </c>
      <c r="H5" s="16" t="s">
        <v>171</v>
      </c>
      <c r="I5" s="16" t="s">
        <v>174</v>
      </c>
      <c r="J5" s="16" t="s">
        <v>62</v>
      </c>
    </row>
    <row r="6" spans="1:10" ht="96.6">
      <c r="A6" s="12" t="s">
        <v>176</v>
      </c>
      <c r="B6" s="12" t="s">
        <v>349</v>
      </c>
      <c r="C6" s="12" t="s">
        <v>32</v>
      </c>
      <c r="D6" s="18">
        <v>7.0000000000000007E-2</v>
      </c>
      <c r="E6" s="12" t="s">
        <v>178</v>
      </c>
      <c r="F6" s="12" t="s">
        <v>350</v>
      </c>
      <c r="G6" s="12" t="s">
        <v>35</v>
      </c>
      <c r="H6" s="12" t="s">
        <v>51</v>
      </c>
      <c r="I6" s="12" t="s">
        <v>351</v>
      </c>
      <c r="J6" s="12" t="s">
        <v>352</v>
      </c>
    </row>
    <row r="7" spans="1:10" ht="55.2">
      <c r="A7" s="12" t="s">
        <v>182</v>
      </c>
      <c r="B7" s="12" t="s">
        <v>353</v>
      </c>
      <c r="C7" s="12" t="s">
        <v>38</v>
      </c>
      <c r="D7" s="18">
        <v>0.125</v>
      </c>
      <c r="E7" s="12" t="s">
        <v>178</v>
      </c>
      <c r="F7" s="12" t="s">
        <v>354</v>
      </c>
      <c r="G7" s="12" t="s">
        <v>35</v>
      </c>
      <c r="H7" s="12" t="s">
        <v>51</v>
      </c>
      <c r="I7" s="12" t="s">
        <v>355</v>
      </c>
      <c r="J7" s="12" t="s">
        <v>356</v>
      </c>
    </row>
    <row r="8" spans="1:10" ht="82.8">
      <c r="A8" s="12" t="s">
        <v>187</v>
      </c>
      <c r="B8" s="12" t="s">
        <v>357</v>
      </c>
      <c r="C8" s="12" t="s">
        <v>189</v>
      </c>
      <c r="D8" s="18">
        <v>0.11</v>
      </c>
      <c r="E8" s="12" t="s">
        <v>190</v>
      </c>
      <c r="F8" s="12" t="s">
        <v>358</v>
      </c>
      <c r="G8" s="12" t="s">
        <v>51</v>
      </c>
      <c r="H8" s="12" t="s">
        <v>51</v>
      </c>
      <c r="I8" s="12" t="s">
        <v>359</v>
      </c>
      <c r="J8" s="12" t="s">
        <v>360</v>
      </c>
    </row>
    <row r="9" spans="1:10" ht="69">
      <c r="A9" s="12" t="s">
        <v>194</v>
      </c>
      <c r="B9" s="12" t="s">
        <v>361</v>
      </c>
      <c r="C9" s="12" t="s">
        <v>362</v>
      </c>
      <c r="D9" s="18">
        <v>7.0000000000000007E-2</v>
      </c>
      <c r="E9" s="12" t="s">
        <v>178</v>
      </c>
      <c r="F9" s="12" t="s">
        <v>197</v>
      </c>
      <c r="G9" s="12" t="s">
        <v>51</v>
      </c>
      <c r="H9" s="12" t="s">
        <v>51</v>
      </c>
      <c r="I9" s="12" t="s">
        <v>363</v>
      </c>
      <c r="J9" s="12" t="s">
        <v>364</v>
      </c>
    </row>
    <row r="10" spans="1:10" ht="55.2">
      <c r="A10" s="12" t="s">
        <v>200</v>
      </c>
      <c r="B10" s="12" t="s">
        <v>365</v>
      </c>
      <c r="C10" s="12" t="s">
        <v>32</v>
      </c>
      <c r="D10" s="18">
        <v>7.0000000000000007E-2</v>
      </c>
      <c r="E10" s="12" t="s">
        <v>178</v>
      </c>
      <c r="F10" s="12" t="s">
        <v>366</v>
      </c>
      <c r="G10" s="12" t="s">
        <v>35</v>
      </c>
      <c r="H10" s="12" t="s">
        <v>51</v>
      </c>
      <c r="I10" s="12" t="s">
        <v>367</v>
      </c>
      <c r="J10" s="12" t="s">
        <v>368</v>
      </c>
    </row>
    <row r="11" spans="1:10" ht="82.8">
      <c r="A11" s="12" t="s">
        <v>205</v>
      </c>
      <c r="B11" s="12" t="s">
        <v>369</v>
      </c>
      <c r="C11" s="12" t="s">
        <v>370</v>
      </c>
      <c r="D11" s="18">
        <v>3.5000000000000003E-2</v>
      </c>
      <c r="E11" s="12" t="s">
        <v>190</v>
      </c>
      <c r="F11" s="12" t="s">
        <v>371</v>
      </c>
      <c r="G11" s="12" t="s">
        <v>51</v>
      </c>
      <c r="H11" s="12" t="s">
        <v>51</v>
      </c>
      <c r="I11" s="12" t="s">
        <v>372</v>
      </c>
      <c r="J11" s="12" t="s">
        <v>373</v>
      </c>
    </row>
    <row r="12" spans="1:10" ht="69">
      <c r="A12" s="12" t="s">
        <v>95</v>
      </c>
      <c r="B12" s="12" t="s">
        <v>374</v>
      </c>
      <c r="C12" s="12" t="s">
        <v>375</v>
      </c>
      <c r="D12" s="18">
        <v>5.5E-2</v>
      </c>
      <c r="E12" s="12" t="s">
        <v>190</v>
      </c>
      <c r="F12" s="12" t="s">
        <v>376</v>
      </c>
      <c r="G12" s="12" t="s">
        <v>51</v>
      </c>
      <c r="H12" s="12" t="s">
        <v>51</v>
      </c>
      <c r="I12" s="12" t="s">
        <v>211</v>
      </c>
      <c r="J12" s="12" t="s">
        <v>377</v>
      </c>
    </row>
    <row r="14" spans="1:10">
      <c r="A14" s="34" t="s">
        <v>378</v>
      </c>
      <c r="B14" s="34"/>
      <c r="C14" s="34"/>
      <c r="D14" s="34"/>
      <c r="E14" s="34"/>
      <c r="F14" s="34"/>
      <c r="G14" s="34"/>
      <c r="H14" s="34"/>
      <c r="I14" s="34"/>
      <c r="J14" s="34"/>
    </row>
    <row r="15" spans="1:10" ht="27.6">
      <c r="A15" s="16" t="s">
        <v>167</v>
      </c>
      <c r="B15" s="16" t="s">
        <v>379</v>
      </c>
      <c r="C15" s="16" t="s">
        <v>380</v>
      </c>
      <c r="D15" s="16" t="s">
        <v>381</v>
      </c>
      <c r="E15" s="16" t="s">
        <v>13</v>
      </c>
      <c r="F15" s="16" t="s">
        <v>169</v>
      </c>
      <c r="G15" s="16" t="s">
        <v>382</v>
      </c>
      <c r="H15" s="16" t="s">
        <v>383</v>
      </c>
      <c r="I15" s="16" t="s">
        <v>384</v>
      </c>
      <c r="J15" s="16" t="s">
        <v>385</v>
      </c>
    </row>
    <row r="16" spans="1:10" ht="27.6">
      <c r="A16" s="12" t="s">
        <v>176</v>
      </c>
      <c r="B16" s="12">
        <v>3</v>
      </c>
      <c r="C16" s="12">
        <v>2</v>
      </c>
      <c r="D16" s="12">
        <f t="shared" ref="D16:D22" si="0">B16*C16</f>
        <v>6</v>
      </c>
      <c r="E16" s="12" t="str">
        <f t="shared" ref="E16:E22" si="1">IF(D16&gt;=6,"High",IF(D16&gt;=4,"Medium","Low"))</f>
        <v>High</v>
      </c>
      <c r="F16" s="12" t="s">
        <v>32</v>
      </c>
      <c r="G16" s="12" t="s">
        <v>386</v>
      </c>
      <c r="H16" s="12" t="s">
        <v>387</v>
      </c>
      <c r="I16" s="12" t="s">
        <v>388</v>
      </c>
      <c r="J16" s="12" t="s">
        <v>389</v>
      </c>
    </row>
    <row r="17" spans="1:10">
      <c r="A17" s="12" t="s">
        <v>182</v>
      </c>
      <c r="B17" s="12">
        <v>3</v>
      </c>
      <c r="C17" s="12">
        <v>2</v>
      </c>
      <c r="D17" s="12">
        <f t="shared" si="0"/>
        <v>6</v>
      </c>
      <c r="E17" s="12" t="str">
        <f t="shared" si="1"/>
        <v>High</v>
      </c>
      <c r="F17" s="12" t="s">
        <v>38</v>
      </c>
      <c r="G17" s="12" t="s">
        <v>390</v>
      </c>
      <c r="H17" s="12" t="s">
        <v>391</v>
      </c>
      <c r="I17" s="12" t="s">
        <v>392</v>
      </c>
      <c r="J17" s="12" t="s">
        <v>393</v>
      </c>
    </row>
    <row r="18" spans="1:10">
      <c r="A18" s="12" t="s">
        <v>187</v>
      </c>
      <c r="B18" s="12">
        <v>2</v>
      </c>
      <c r="C18" s="12">
        <v>2</v>
      </c>
      <c r="D18" s="12">
        <f t="shared" si="0"/>
        <v>4</v>
      </c>
      <c r="E18" s="12" t="str">
        <f t="shared" si="1"/>
        <v>Medium</v>
      </c>
      <c r="F18" s="12" t="s">
        <v>394</v>
      </c>
      <c r="G18" s="12" t="s">
        <v>395</v>
      </c>
      <c r="H18" s="12" t="s">
        <v>396</v>
      </c>
      <c r="I18" s="12" t="s">
        <v>397</v>
      </c>
      <c r="J18" s="12" t="s">
        <v>398</v>
      </c>
    </row>
    <row r="19" spans="1:10" ht="27.6">
      <c r="A19" s="12" t="s">
        <v>194</v>
      </c>
      <c r="B19" s="12">
        <v>2</v>
      </c>
      <c r="C19" s="12">
        <v>2</v>
      </c>
      <c r="D19" s="12">
        <f t="shared" si="0"/>
        <v>4</v>
      </c>
      <c r="E19" s="12" t="str">
        <f t="shared" si="1"/>
        <v>Medium</v>
      </c>
      <c r="F19" s="12" t="s">
        <v>362</v>
      </c>
      <c r="G19" s="12" t="s">
        <v>399</v>
      </c>
      <c r="H19" s="12" t="s">
        <v>400</v>
      </c>
      <c r="I19" s="12" t="s">
        <v>401</v>
      </c>
      <c r="J19" s="12" t="s">
        <v>402</v>
      </c>
    </row>
    <row r="20" spans="1:10">
      <c r="A20" s="12" t="s">
        <v>200</v>
      </c>
      <c r="B20" s="12">
        <v>3</v>
      </c>
      <c r="C20" s="12">
        <v>2</v>
      </c>
      <c r="D20" s="12">
        <f t="shared" si="0"/>
        <v>6</v>
      </c>
      <c r="E20" s="12" t="str">
        <f t="shared" si="1"/>
        <v>High</v>
      </c>
      <c r="F20" s="12" t="s">
        <v>32</v>
      </c>
      <c r="G20" s="12" t="s">
        <v>386</v>
      </c>
      <c r="H20" s="12" t="s">
        <v>403</v>
      </c>
      <c r="I20" s="12" t="s">
        <v>404</v>
      </c>
      <c r="J20" s="12" t="s">
        <v>405</v>
      </c>
    </row>
    <row r="21" spans="1:10">
      <c r="A21" s="12" t="s">
        <v>205</v>
      </c>
      <c r="B21" s="12">
        <v>2</v>
      </c>
      <c r="C21" s="12">
        <v>2</v>
      </c>
      <c r="D21" s="12">
        <f t="shared" si="0"/>
        <v>4</v>
      </c>
      <c r="E21" s="12" t="str">
        <f t="shared" si="1"/>
        <v>Medium</v>
      </c>
      <c r="F21" s="12" t="s">
        <v>370</v>
      </c>
      <c r="G21" s="12" t="s">
        <v>406</v>
      </c>
      <c r="H21" s="12" t="s">
        <v>407</v>
      </c>
      <c r="I21" s="12" t="s">
        <v>408</v>
      </c>
      <c r="J21" s="12" t="s">
        <v>409</v>
      </c>
    </row>
    <row r="22" spans="1:10">
      <c r="A22" s="12" t="s">
        <v>95</v>
      </c>
      <c r="B22" s="12">
        <v>2</v>
      </c>
      <c r="C22" s="12">
        <v>2</v>
      </c>
      <c r="D22" s="12">
        <f t="shared" si="0"/>
        <v>4</v>
      </c>
      <c r="E22" s="12" t="str">
        <f t="shared" si="1"/>
        <v>Medium</v>
      </c>
      <c r="F22" s="12" t="s">
        <v>375</v>
      </c>
      <c r="G22" s="12" t="s">
        <v>410</v>
      </c>
      <c r="H22" s="12" t="s">
        <v>411</v>
      </c>
      <c r="I22" s="12" t="s">
        <v>412</v>
      </c>
      <c r="J22" s="12" t="s">
        <v>413</v>
      </c>
    </row>
  </sheetData>
  <mergeCells count="4">
    <mergeCell ref="A1:J1"/>
    <mergeCell ref="A2:J2"/>
    <mergeCell ref="A4:J4"/>
    <mergeCell ref="A14:J14"/>
  </mergeCells>
  <conditionalFormatting sqref="D16:D22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8"/>
  <sheetViews>
    <sheetView workbookViewId="0">
      <selection sqref="A1:N1"/>
    </sheetView>
  </sheetViews>
  <sheetFormatPr defaultRowHeight="13.8"/>
  <cols>
    <col min="1" max="1" width="18" customWidth="1"/>
    <col min="2" max="7" width="15" customWidth="1"/>
    <col min="8" max="8" width="18" customWidth="1"/>
    <col min="9" max="14" width="15" customWidth="1"/>
  </cols>
  <sheetData>
    <row r="1" spans="1:14" ht="17.399999999999999">
      <c r="A1" s="32" t="s">
        <v>414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4.4">
      <c r="A2" s="33" t="s">
        <v>415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>
      <c r="A4" s="34" t="s">
        <v>416</v>
      </c>
      <c r="B4" s="34"/>
      <c r="C4" s="34"/>
      <c r="D4" s="34"/>
      <c r="E4" s="34"/>
      <c r="F4" s="34"/>
      <c r="H4" s="34" t="s">
        <v>417</v>
      </c>
      <c r="I4" s="34"/>
      <c r="J4" s="34"/>
      <c r="K4" s="34"/>
      <c r="L4" s="34"/>
      <c r="M4" s="34"/>
    </row>
    <row r="5" spans="1:14">
      <c r="A5" s="15" t="s">
        <v>117</v>
      </c>
      <c r="B5" s="15">
        <v>0.04</v>
      </c>
      <c r="C5" s="15">
        <v>5.5E-2</v>
      </c>
      <c r="D5" s="15">
        <v>7.0000000000000007E-2</v>
      </c>
      <c r="E5" s="15">
        <v>8.5000000000000006E-2</v>
      </c>
      <c r="F5" s="15">
        <v>0.1</v>
      </c>
      <c r="H5" s="15" t="s">
        <v>118</v>
      </c>
      <c r="I5" s="15">
        <v>0.105</v>
      </c>
      <c r="J5" s="15">
        <v>0.115</v>
      </c>
      <c r="K5" s="15">
        <v>0.125</v>
      </c>
      <c r="L5" s="15">
        <v>0.13500000000000001</v>
      </c>
      <c r="M5" s="15">
        <v>0.14499999999999999</v>
      </c>
    </row>
    <row r="6" spans="1:14">
      <c r="A6">
        <v>0.09</v>
      </c>
      <c r="B6" s="21">
        <v>276.93273913043481</v>
      </c>
      <c r="C6" s="21">
        <v>293.12489950312454</v>
      </c>
      <c r="D6" s="21">
        <v>310.03759760446593</v>
      </c>
      <c r="E6" s="21">
        <v>327.69347297140069</v>
      </c>
      <c r="F6" s="21">
        <v>346.11558212035948</v>
      </c>
      <c r="H6">
        <v>0.09</v>
      </c>
      <c r="I6" s="21">
        <v>229.05858544423808</v>
      </c>
      <c r="J6" s="21">
        <v>269.54809152435212</v>
      </c>
      <c r="K6" s="21">
        <v>310.03759760446593</v>
      </c>
      <c r="L6" s="21">
        <v>350.52710368457986</v>
      </c>
      <c r="M6" s="21">
        <v>391.01660976469356</v>
      </c>
    </row>
    <row r="7" spans="1:14">
      <c r="A7">
        <v>0.1</v>
      </c>
      <c r="B7" s="21">
        <v>227.65273550724632</v>
      </c>
      <c r="C7" s="21">
        <v>240.85921206242142</v>
      </c>
      <c r="D7" s="21">
        <v>254.64865892118237</v>
      </c>
      <c r="E7" s="21">
        <v>269.03932145275593</v>
      </c>
      <c r="F7" s="21">
        <v>284.04978034420293</v>
      </c>
      <c r="H7">
        <v>0.1</v>
      </c>
      <c r="I7" s="21">
        <v>187.31182378645445</v>
      </c>
      <c r="J7" s="21">
        <v>220.98024135381851</v>
      </c>
      <c r="K7" s="21">
        <v>254.64865892118237</v>
      </c>
      <c r="L7" s="21">
        <v>288.31707648854638</v>
      </c>
      <c r="M7" s="21">
        <v>321.98549405591018</v>
      </c>
    </row>
    <row r="8" spans="1:14">
      <c r="A8">
        <v>0.11</v>
      </c>
      <c r="B8" s="21">
        <v>192.4527329192546</v>
      </c>
      <c r="C8" s="21">
        <v>203.53527189719588</v>
      </c>
      <c r="D8" s="21">
        <v>215.10311222269837</v>
      </c>
      <c r="E8" s="21">
        <v>227.17138303099728</v>
      </c>
      <c r="F8" s="21">
        <v>239.75549090194053</v>
      </c>
      <c r="H8">
        <v>0.11</v>
      </c>
      <c r="I8" s="21">
        <v>157.50626058387573</v>
      </c>
      <c r="J8" s="21">
        <v>186.30468640328712</v>
      </c>
      <c r="K8" s="21">
        <v>215.10311222269837</v>
      </c>
      <c r="L8" s="21">
        <v>243.90153804210971</v>
      </c>
      <c r="M8" s="21">
        <v>272.69996386152087</v>
      </c>
    </row>
    <row r="9" spans="1:14">
      <c r="A9">
        <v>0.12</v>
      </c>
      <c r="B9" s="21">
        <v>166.05273097826085</v>
      </c>
      <c r="C9" s="21">
        <v>175.54957321561221</v>
      </c>
      <c r="D9" s="21">
        <v>185.45895889651842</v>
      </c>
      <c r="E9" s="21">
        <v>195.79369862770938</v>
      </c>
      <c r="F9" s="21">
        <v>206.56683743417395</v>
      </c>
      <c r="H9">
        <v>0.12</v>
      </c>
      <c r="I9" s="21">
        <v>135.1633987621106</v>
      </c>
      <c r="J9" s="21">
        <v>160.31117882931451</v>
      </c>
      <c r="K9" s="21">
        <v>185.45895889651842</v>
      </c>
      <c r="L9" s="21">
        <v>210.60673896372242</v>
      </c>
      <c r="M9" s="21">
        <v>235.75451903092616</v>
      </c>
    </row>
    <row r="10" spans="1:14">
      <c r="A10">
        <v>0.13</v>
      </c>
      <c r="B10" s="21">
        <v>145.51939613526582</v>
      </c>
      <c r="C10" s="21">
        <v>153.78907461773434</v>
      </c>
      <c r="D10" s="21">
        <v>162.41512466398905</v>
      </c>
      <c r="E10" s="21">
        <v>171.40856931742749</v>
      </c>
      <c r="F10" s="21">
        <v>180.78063289381166</v>
      </c>
      <c r="H10">
        <v>0.13</v>
      </c>
      <c r="I10" s="21">
        <v>117.79521157066301</v>
      </c>
      <c r="J10" s="21">
        <v>140.10516811732606</v>
      </c>
      <c r="K10" s="21">
        <v>162.41512466398905</v>
      </c>
      <c r="L10" s="21">
        <v>184.72508121065209</v>
      </c>
      <c r="M10" s="21">
        <v>207.03503775731497</v>
      </c>
    </row>
    <row r="12" spans="1:14">
      <c r="A12" s="34" t="s">
        <v>418</v>
      </c>
      <c r="B12" s="34"/>
      <c r="C12" s="34"/>
      <c r="D12" s="34"/>
      <c r="E12" s="34"/>
      <c r="H12" s="34" t="s">
        <v>419</v>
      </c>
      <c r="I12" s="34"/>
      <c r="J12" s="34"/>
    </row>
    <row r="13" spans="1:14">
      <c r="A13" s="15" t="s">
        <v>8</v>
      </c>
      <c r="B13" s="15" t="s">
        <v>121</v>
      </c>
      <c r="C13" s="15" t="s">
        <v>122</v>
      </c>
      <c r="H13" s="15" t="s">
        <v>9</v>
      </c>
      <c r="I13" s="15" t="s">
        <v>123</v>
      </c>
      <c r="J13" s="15" t="s">
        <v>22</v>
      </c>
    </row>
    <row r="14" spans="1:14">
      <c r="A14" s="8">
        <v>-0.02</v>
      </c>
      <c r="B14" s="21">
        <v>-137.97999999999999</v>
      </c>
      <c r="C14" s="21">
        <v>0.28120923913043472</v>
      </c>
      <c r="H14" s="8">
        <v>2.5000000000000001E-2</v>
      </c>
      <c r="I14" s="22"/>
      <c r="J14" s="21">
        <v>253.50101331524675</v>
      </c>
    </row>
    <row r="15" spans="1:14">
      <c r="A15" s="8">
        <v>-0.01</v>
      </c>
      <c r="B15" s="21">
        <v>-68.989999999999995</v>
      </c>
      <c r="C15" s="21">
        <v>0.14060461956521736</v>
      </c>
      <c r="H15" s="8">
        <v>0.03</v>
      </c>
      <c r="I15" s="22"/>
      <c r="J15" s="21">
        <v>234.30206276897258</v>
      </c>
    </row>
    <row r="16" spans="1:14">
      <c r="A16" s="8">
        <v>0</v>
      </c>
      <c r="B16" s="21">
        <v>0</v>
      </c>
      <c r="C16" s="21">
        <v>0</v>
      </c>
      <c r="H16" s="8">
        <v>3.5000000000000003E-2</v>
      </c>
      <c r="I16" s="22"/>
      <c r="J16" s="21">
        <v>215.10311222269837</v>
      </c>
    </row>
    <row r="17" spans="1:10">
      <c r="A17" s="8">
        <v>0.01</v>
      </c>
      <c r="B17" s="21">
        <v>68.989999999999995</v>
      </c>
      <c r="C17" s="21">
        <v>-0.14060461956521736</v>
      </c>
      <c r="H17" s="8">
        <v>0.04</v>
      </c>
      <c r="I17" s="22"/>
      <c r="J17" s="21">
        <v>195.90416167642417</v>
      </c>
    </row>
    <row r="18" spans="1:10">
      <c r="A18" s="8">
        <v>0.02</v>
      </c>
      <c r="B18" s="21">
        <v>137.97999999999999</v>
      </c>
      <c r="C18" s="21">
        <v>-0.28120923913043472</v>
      </c>
      <c r="H18" s="8">
        <v>4.4999999999999998E-2</v>
      </c>
      <c r="I18" s="22"/>
      <c r="J18" s="21">
        <v>176.70521113014999</v>
      </c>
    </row>
  </sheetData>
  <mergeCells count="6">
    <mergeCell ref="A1:N1"/>
    <mergeCell ref="A2:N2"/>
    <mergeCell ref="A4:F4"/>
    <mergeCell ref="H4:M4"/>
    <mergeCell ref="A12:E12"/>
    <mergeCell ref="H12:J12"/>
  </mergeCells>
  <conditionalFormatting sqref="B6:F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I6:M10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2"/>
  <sheetViews>
    <sheetView workbookViewId="0">
      <selection sqref="A1:H1"/>
    </sheetView>
  </sheetViews>
  <sheetFormatPr defaultRowHeight="13.8"/>
  <cols>
    <col min="1" max="1" width="22" customWidth="1"/>
    <col min="2" max="8" width="16" customWidth="1"/>
  </cols>
  <sheetData>
    <row r="1" spans="1:8" ht="17.399999999999999">
      <c r="A1" s="32" t="s">
        <v>420</v>
      </c>
      <c r="B1" s="32"/>
      <c r="C1" s="32"/>
      <c r="D1" s="32"/>
      <c r="E1" s="32"/>
      <c r="F1" s="32"/>
      <c r="G1" s="32"/>
      <c r="H1" s="32"/>
    </row>
    <row r="3" spans="1:8">
      <c r="A3" s="34" t="s">
        <v>421</v>
      </c>
      <c r="B3" s="34"/>
      <c r="C3" s="34"/>
      <c r="D3" s="34"/>
      <c r="E3" s="34"/>
      <c r="F3" s="34"/>
      <c r="G3" s="34"/>
      <c r="H3" s="34"/>
    </row>
    <row r="4" spans="1:8">
      <c r="A4" s="16" t="s">
        <v>82</v>
      </c>
      <c r="B4" s="16" t="s">
        <v>422</v>
      </c>
      <c r="C4" s="16" t="s">
        <v>61</v>
      </c>
      <c r="D4" s="16" t="s">
        <v>423</v>
      </c>
      <c r="E4" s="16" t="s">
        <v>424</v>
      </c>
      <c r="F4" s="16" t="s">
        <v>30</v>
      </c>
      <c r="G4" s="16" t="s">
        <v>26</v>
      </c>
      <c r="H4" s="16" t="s">
        <v>42</v>
      </c>
    </row>
    <row r="5" spans="1:8">
      <c r="A5" s="12" t="s">
        <v>32</v>
      </c>
      <c r="B5" s="18">
        <v>7.0000000000000007E-2</v>
      </c>
      <c r="C5" s="12" t="s">
        <v>68</v>
      </c>
      <c r="D5" s="12" t="s">
        <v>133</v>
      </c>
      <c r="E5" s="12" t="s">
        <v>425</v>
      </c>
      <c r="F5" s="23">
        <v>0.04</v>
      </c>
      <c r="G5" s="23">
        <v>7.0000000000000007E-2</v>
      </c>
      <c r="H5" s="23">
        <v>0.1</v>
      </c>
    </row>
    <row r="6" spans="1:8" ht="27.6">
      <c r="A6" s="12" t="s">
        <v>38</v>
      </c>
      <c r="B6" s="18">
        <v>0.125</v>
      </c>
      <c r="C6" s="12" t="s">
        <v>68</v>
      </c>
      <c r="D6" s="12" t="s">
        <v>133</v>
      </c>
      <c r="E6" s="12" t="s">
        <v>250</v>
      </c>
      <c r="F6" s="23">
        <v>0.105</v>
      </c>
      <c r="G6" s="23">
        <v>0.125</v>
      </c>
      <c r="H6" s="23">
        <v>0.14499999999999999</v>
      </c>
    </row>
    <row r="7" spans="1:8">
      <c r="A7" s="12" t="s">
        <v>89</v>
      </c>
      <c r="B7" s="18">
        <v>0.25</v>
      </c>
      <c r="C7" s="12" t="s">
        <v>68</v>
      </c>
      <c r="D7" s="12" t="s">
        <v>426</v>
      </c>
      <c r="E7" s="12" t="s">
        <v>427</v>
      </c>
      <c r="F7" s="23">
        <v>0.25</v>
      </c>
      <c r="G7" s="23">
        <v>0.25</v>
      </c>
      <c r="H7" s="23">
        <v>0.25</v>
      </c>
    </row>
    <row r="8" spans="1:8">
      <c r="A8" s="12" t="s">
        <v>91</v>
      </c>
      <c r="B8" s="18">
        <v>2.3E-2</v>
      </c>
      <c r="C8" s="12" t="s">
        <v>68</v>
      </c>
      <c r="D8" s="12" t="s">
        <v>428</v>
      </c>
      <c r="E8" s="12" t="s">
        <v>429</v>
      </c>
      <c r="F8" s="23">
        <v>2.3E-2</v>
      </c>
      <c r="G8" s="23">
        <v>2.3E-2</v>
      </c>
      <c r="H8" s="23">
        <v>2.3E-2</v>
      </c>
    </row>
    <row r="9" spans="1:8" ht="27.6">
      <c r="A9" s="12" t="s">
        <v>9</v>
      </c>
      <c r="B9" s="18">
        <v>3.5000000000000003E-2</v>
      </c>
      <c r="C9" s="12" t="s">
        <v>68</v>
      </c>
      <c r="D9" s="12" t="s">
        <v>426</v>
      </c>
      <c r="E9" s="12" t="s">
        <v>430</v>
      </c>
      <c r="F9" s="23">
        <v>4.4999999999999998E-2</v>
      </c>
      <c r="G9" s="23">
        <v>3.5000000000000003E-2</v>
      </c>
      <c r="H9" s="23">
        <v>2.5000000000000001E-2</v>
      </c>
    </row>
    <row r="10" spans="1:8">
      <c r="A10" s="12" t="s">
        <v>94</v>
      </c>
      <c r="B10" s="18">
        <v>5.5E-2</v>
      </c>
      <c r="C10" s="12" t="s">
        <v>68</v>
      </c>
      <c r="D10" s="12" t="s">
        <v>426</v>
      </c>
      <c r="E10" s="12" t="s">
        <v>95</v>
      </c>
      <c r="F10" s="23">
        <v>6.5000000000000002E-2</v>
      </c>
      <c r="G10" s="23">
        <v>5.5E-2</v>
      </c>
      <c r="H10" s="23">
        <v>4.4999999999999998E-2</v>
      </c>
    </row>
    <row r="11" spans="1:8" ht="27.6">
      <c r="A11" s="12" t="s">
        <v>44</v>
      </c>
      <c r="B11" s="18">
        <v>0.11</v>
      </c>
      <c r="C11" s="12" t="s">
        <v>68</v>
      </c>
      <c r="D11" s="12" t="s">
        <v>426</v>
      </c>
      <c r="E11" s="12" t="s">
        <v>431</v>
      </c>
      <c r="F11" s="23">
        <v>0.12</v>
      </c>
      <c r="G11" s="23">
        <v>0.11</v>
      </c>
      <c r="H11" s="23">
        <v>0.1</v>
      </c>
    </row>
    <row r="12" spans="1:8" ht="27.6">
      <c r="A12" s="12" t="s">
        <v>96</v>
      </c>
      <c r="B12" s="18">
        <v>0.04</v>
      </c>
      <c r="C12" s="12" t="s">
        <v>68</v>
      </c>
      <c r="D12" s="12" t="s">
        <v>426</v>
      </c>
      <c r="E12" s="12" t="s">
        <v>432</v>
      </c>
      <c r="F12" s="23">
        <v>3.5000000000000003E-2</v>
      </c>
      <c r="G12" s="23">
        <v>0.04</v>
      </c>
      <c r="H12" s="23">
        <v>4.4999999999999998E-2</v>
      </c>
    </row>
    <row r="13" spans="1:8">
      <c r="A13" s="12" t="s">
        <v>433</v>
      </c>
      <c r="B13" s="17">
        <v>2082</v>
      </c>
      <c r="C13" s="17" t="s">
        <v>64</v>
      </c>
      <c r="D13" s="17" t="s">
        <v>434</v>
      </c>
      <c r="E13" s="17" t="s">
        <v>272</v>
      </c>
      <c r="F13" s="17">
        <v>2082</v>
      </c>
      <c r="G13" s="17">
        <v>2082</v>
      </c>
      <c r="H13" s="17">
        <v>2082</v>
      </c>
    </row>
    <row r="14" spans="1:8" ht="27.6">
      <c r="A14" s="12" t="s">
        <v>78</v>
      </c>
      <c r="B14" s="24">
        <v>368</v>
      </c>
      <c r="C14" s="24" t="s">
        <v>435</v>
      </c>
      <c r="D14" s="24" t="s">
        <v>426</v>
      </c>
      <c r="E14" s="24" t="s">
        <v>436</v>
      </c>
      <c r="F14" s="24">
        <v>368</v>
      </c>
      <c r="G14" s="24">
        <v>368</v>
      </c>
      <c r="H14" s="24">
        <v>368</v>
      </c>
    </row>
    <row r="16" spans="1:8">
      <c r="A16" s="34" t="s">
        <v>437</v>
      </c>
      <c r="B16" s="34"/>
      <c r="C16" s="34"/>
      <c r="D16" s="34"/>
      <c r="E16" s="34"/>
      <c r="F16" s="34"/>
      <c r="G16" s="34"/>
      <c r="H16" s="34"/>
    </row>
    <row r="17" spans="1:4">
      <c r="A17" s="16" t="s">
        <v>438</v>
      </c>
      <c r="B17" s="16" t="s">
        <v>107</v>
      </c>
      <c r="C17" s="16" t="s">
        <v>61</v>
      </c>
      <c r="D17" s="16" t="s">
        <v>439</v>
      </c>
    </row>
    <row r="18" spans="1:4" ht="41.4">
      <c r="A18" s="12" t="s">
        <v>158</v>
      </c>
      <c r="B18" s="25">
        <f>'DCF Stress Test'!B25</f>
        <v>86056.945297953003</v>
      </c>
      <c r="C18" s="12" t="s">
        <v>64</v>
      </c>
      <c r="D18" s="12" t="s">
        <v>440</v>
      </c>
    </row>
    <row r="19" spans="1:4" ht="27.6">
      <c r="A19" s="12" t="s">
        <v>159</v>
      </c>
      <c r="B19" s="25">
        <f>'DCF Stress Test'!B26</f>
        <v>88138.945297953003</v>
      </c>
      <c r="C19" s="12" t="s">
        <v>64</v>
      </c>
      <c r="D19" s="12" t="s">
        <v>441</v>
      </c>
    </row>
    <row r="20" spans="1:4" ht="27.6">
      <c r="A20" s="12" t="s">
        <v>160</v>
      </c>
      <c r="B20" s="26">
        <f>'DCF Stress Test'!B27</f>
        <v>239.50800352704621</v>
      </c>
      <c r="C20" s="12" t="s">
        <v>102</v>
      </c>
      <c r="D20" s="12" t="s">
        <v>442</v>
      </c>
    </row>
    <row r="21" spans="1:4" ht="27.6">
      <c r="A21" s="12" t="s">
        <v>443</v>
      </c>
      <c r="B21" s="26" t="str">
        <f>'Scenario Manager'!B3</f>
        <v>Downside</v>
      </c>
      <c r="C21" s="12" t="s">
        <v>444</v>
      </c>
      <c r="D21" s="12" t="s">
        <v>445</v>
      </c>
    </row>
    <row r="22" spans="1:4" ht="27.6">
      <c r="A22" s="12" t="s">
        <v>446</v>
      </c>
      <c r="B22" s="26">
        <f>'Risk Dashboard'!B13</f>
        <v>129021.31173813954</v>
      </c>
      <c r="C22" s="12" t="s">
        <v>102</v>
      </c>
      <c r="D22" s="12" t="s">
        <v>447</v>
      </c>
    </row>
  </sheetData>
  <mergeCells count="3">
    <mergeCell ref="A1:H1"/>
    <mergeCell ref="A3:H3"/>
    <mergeCell ref="A16:H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Risk Dashboard</vt:lpstr>
      <vt:lpstr>Risk Inputs</vt:lpstr>
      <vt:lpstr>Scenario Manager</vt:lpstr>
      <vt:lpstr>Sensitivity Analysis</vt:lpstr>
      <vt:lpstr>DCF Stress Test</vt:lpstr>
      <vt:lpstr>Financial Impact</vt:lpstr>
      <vt:lpstr>Risk Register</vt:lpstr>
      <vt:lpstr>Sources</vt:lpstr>
      <vt:lpstr>Raw Financials</vt:lpstr>
      <vt:lpstr>Raw Operations</vt:lpstr>
      <vt:lpstr>Raw Risk Drivers</vt:lpstr>
      <vt:lpstr>Raw Sensitivity Data</vt:lpstr>
      <vt:lpstr>Raw Valuation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SINGH</cp:lastModifiedBy>
  <dcterms:modified xsi:type="dcterms:W3CDTF">2026-09-14T13:53:10Z</dcterms:modified>
</cp:coreProperties>
</file>